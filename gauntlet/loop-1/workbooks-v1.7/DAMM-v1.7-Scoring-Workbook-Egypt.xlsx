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style1.xml" ContentType="application/vnd.ms-office.chartstyle+xml"/>
  <Override PartName="/xl/charts/chart3.xml" ContentType="application/vnd.openxmlformats-officedocument.drawingml.chart+xml"/>
  <Override PartName="/xl/charts/chart1.xml" ContentType="application/vnd.openxmlformats-officedocument.drawingml.chart+xml"/>
  <Override PartName="/xl/charts/colors1.xml" ContentType="application/vnd.ms-office.chartcolorstyle+xml"/>
  <Override PartName="/xl/charts/chart6.xml" ContentType="application/vnd.openxmlformats-officedocument.drawingml.chart+xml"/>
  <Override PartName="/xl/charts/chart2.xml" ContentType="application/vnd.openxmlformats-officedocument.drawingml.chart+xml"/>
  <Override PartName="/xl/charts/style2.xml" ContentType="application/vnd.ms-office.chartstyle+xml"/>
  <Override PartName="/xl/charts/chart5.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style4.xml" ContentType="application/vnd.ms-office.chartstyle+xml"/>
  <Override PartName="/xl/charts/colors4.xml" ContentType="application/vnd.ms-office.chartcolorstyle+xml"/>
  <Override PartName="/xl/charts/style5.xml" ContentType="application/vnd.ms-office.chartstyle+xml"/>
  <Override PartName="/xl/charts/colors2.xml" ContentType="application/vnd.ms-office.chartcolorstyle+xml"/>
  <Override PartName="/xl/charts/colors5.xml" ContentType="application/vnd.ms-office.chartcolorstyle+xml"/>
  <Override PartName="/xl/charts/colors3.xml" ContentType="application/vnd.ms-office.chartcolorstyle+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nfig" sheetId="2" state="visible" r:id="rId4"/>
    <sheet name="Ladder" sheetId="3" state="visible" r:id="rId5"/>
    <sheet name="Tiers" sheetId="4" state="visible" r:id="rId6"/>
    <sheet name="Egypt" sheetId="5" state="visible" r:id="rId7"/>
    <sheet name="Issues" sheetId="6" state="visible" r:id="rId8"/>
    <sheet name="Visuals" sheetId="7" state="visible" r:id="rId9"/>
  </sheets>
  <definedNames>
    <definedName function="false" hidden="false" localSheetId="1" name="_xlnm.Print_Area" vbProcedure="false">Config!$B$1:$D$13</definedName>
    <definedName function="false" hidden="false" localSheetId="4" name="_xlnm.Print_Area" vbProcedure="false">Egypt!$A$1:$U$107</definedName>
    <definedName function="false" hidden="false" localSheetId="4" name="_xlnm.Print_Titles" vbProcedure="false">Egypt!$4:$4</definedName>
    <definedName function="false" hidden="false" localSheetId="5" name="_xlnm.Print_Area" vbProcedure="false">Issues!$B$1:$I$44</definedName>
    <definedName function="false" hidden="false" localSheetId="5" name="_xlnm.Print_Titles" vbProcedure="false">Issues!$4:$4</definedName>
    <definedName function="false" hidden="false" localSheetId="2" name="_xlnm.Print_Area" vbProcedure="false">Ladder!$B$1:$D$11</definedName>
    <definedName function="false" hidden="false" localSheetId="0" name="_xlnm.Print_Area" vbProcedure="false">'Read Me'!$B$1:$H$32</definedName>
    <definedName function="false" hidden="false" localSheetId="3" name="_xlnm.Print_Area" vbProcedure="false">Tiers!$B$1:$E$14</definedName>
    <definedName function="false" hidden="false" localSheetId="6" name="_xlnm.Print_Area" vbProcedure="false">Visuals!$A$1:$AB$56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<sst xmlns="http://schemas.openxmlformats.org/spreadsheetml/2006/main" count="908" uniqueCount="558">
  <si>
    <t xml:space="preserve">DAMM v1.7 — Scoring Workbook</t>
  </si>
  <si>
    <t xml:space="preserve">Digital Agriculture Maturity Model · draft for review · August 2026</t>
  </si>
  <si>
    <t xml:space="preserve">This file is the Egypt worked example, compiled 22 August 2026.</t>
  </si>
  <si>
    <t xml:space="preserve">The four steps</t>
  </si>
  <si>
    <t xml:space="preserve">1 · ASSEMBLE</t>
  </si>
  <si>
    <t xml:space="preserve">Fill the six yellow columns on the scoring sheet: Value, Source, Source URL, Tier, Year, Assessor level. Every indicator gets a value, a source and a year — or a recorded gap. No level may exist without a recorded value.</t>
  </si>
  <si>
    <t xml:space="preserve">2 · DERIVE</t>
  </si>
  <si>
    <t xml:space="preserve">Automatic. Evidence class, level, staleness, pillar bands, the layer profile, prerequisite status and the use-case matrix all compute by formula. Nothing here is typed.</t>
  </si>
  <si>
    <t xml:space="preserve">3 · REPORT</t>
  </si>
  <si>
    <t xml:space="preserve">The diagnostic report renders from this workbook. It is the deliverable; this file is the instrument behind it.</t>
  </si>
  <si>
    <t xml:space="preserve">4 · USE</t>
  </si>
  <si>
    <t xml:space="preserve">The task team leader takes the report into roadmap preparation, closes the verify list on mission, and executes the refresh list.</t>
  </si>
  <si>
    <t xml:space="preserve">What to type, and where</t>
  </si>
  <si>
    <t xml:space="preserve">Yellow cells, blue text</t>
  </si>
  <si>
    <t xml:space="preserve">The only cells an assessor edits: Value, Source, Source URL, Tier, Year, Assessor level (columns M–R of the scoring sheet).</t>
  </si>
  <si>
    <t xml:space="preserve">Everything else</t>
  </si>
  <si>
    <t xml:space="preserve">Model reference or derived by formula. Do not overwrite: a typed level that contradicts its value is the defect this model exists to prevent.</t>
  </si>
  <si>
    <t xml:space="preserve">Value</t>
  </si>
  <si>
    <t xml:space="preserve">A number, a citation ("NDPA 2023 in force; NDPC enforcing"), or a recorded gap beginning DATA GAP — followed by the sources actually searched.</t>
  </si>
  <si>
    <t xml:space="preserve">Tier</t>
  </si>
  <si>
    <t xml:space="preserve">T1–T5 per the Tiers sheet. Reported, never weighted. Machine-fetched rows arrive with the tier already filled by the pipeline.</t>
  </si>
  <si>
    <t xml:space="preserve">Assessor level</t>
  </si>
  <si>
    <t xml:space="preserve">1–5, for ladder indicators only. Threshold indicators score themselves from the value.</t>
  </si>
  <si>
    <t xml:space="preserve">Quality control — gate sign-off</t>
  </si>
  <si>
    <t xml:space="preserve">Automated checks run at render time and block the report on failure. The three human gates are recorded here (QC Protocol).</t>
  </si>
  <si>
    <t xml:space="preserve">Gate</t>
  </si>
  <si>
    <t xml:space="preserve">What it certifies</t>
  </si>
  <si>
    <t xml:space="preserve">Name</t>
  </si>
  <si>
    <t xml:space="preserve">Date</t>
  </si>
  <si>
    <t xml:space="preserve">Note</t>
  </si>
  <si>
    <t xml:space="preserve">G1</t>
  </si>
  <si>
    <t xml:space="preserve">Assessor has confirmed every machine-filled row: value, source, year, tier; every recorded gap accepted or re-searched.</t>
  </si>
  <si>
    <t xml:space="preserve">G2</t>
  </si>
  <si>
    <t xml:space="preserve">A second reviewer has re-checked 100% of prerequisite rows and 100% of judged rows, plus a 15% sample of the remainder.</t>
  </si>
  <si>
    <t xml:space="preserve">G3</t>
  </si>
  <si>
    <t xml:space="preserve">Task team leader sign-off against the four prohibitions, before anything leaves the team.</t>
  </si>
  <si>
    <t xml:space="preserve">The four prohibitions</t>
  </si>
  <si>
    <t xml:space="preserve">· No cross-country ranking.</t>
  </si>
  <si>
    <t xml:space="preserve">· No band used as a project development objective, disbursement-linked indicator, or disbursement condition.</t>
  </si>
  <si>
    <t xml:space="preserve">· No automatic financing decisions.</t>
  </si>
  <si>
    <t xml:space="preserve">· No public claim before human review.</t>
  </si>
  <si>
    <t xml:space="preserve">Config — every constant with its meaning</t>
  </si>
  <si>
    <t xml:space="preserve">Assessment year</t>
  </si>
  <si>
    <t xml:space="preserve">ENTRY (yellow). Staleness is measured against this year.</t>
  </si>
  <si>
    <t xml:space="preserve">Staleness limit (years)</t>
  </si>
  <si>
    <t xml:space="preserve">A reading older than this is flagged STALE. One rule for all indicators.</t>
  </si>
  <si>
    <t xml:space="preserve">Readiness threshold</t>
  </si>
  <si>
    <t xml:space="preserve">A use-case column whose bearing indicators average below this reads Partial.</t>
  </si>
  <si>
    <t xml:space="preserve">Leapfrog threshold</t>
  </si>
  <si>
    <t xml:space="preserve">|mean(Foundation) − mean(Transformation)| above this raises a structural flag.</t>
  </si>
  <si>
    <t xml:space="preserve">Band: Nascent</t>
  </si>
  <si>
    <t xml:space="preserve">1.0 – &lt;1.8</t>
  </si>
  <si>
    <t xml:space="preserve">Half-open bands; a pillar band in parentheses means judged, gap and held rows outnumber the levelled measured and documented ones.</t>
  </si>
  <si>
    <t xml:space="preserve">Band: Emerging</t>
  </si>
  <si>
    <t xml:space="preserve">1.8 – &lt;2.6</t>
  </si>
  <si>
    <t xml:space="preserve">Band: Established</t>
  </si>
  <si>
    <t xml:space="preserve">2.6 – &lt;3.4</t>
  </si>
  <si>
    <t xml:space="preserve">Band: Advanced</t>
  </si>
  <si>
    <t xml:space="preserve">3.4 – &lt;4.2</t>
  </si>
  <si>
    <t xml:space="preserve">Band: Transformative</t>
  </si>
  <si>
    <t xml:space="preserve">4.2 – 5.0</t>
  </si>
  <si>
    <t xml:space="preserve">Universal prerequisites</t>
  </si>
  <si>
    <t xml:space="preserve">2.1, 2.9, 4.1</t>
  </si>
  <si>
    <t xml:space="preserve">Absence blocks every use-case column. A universal prerequisite at Present (narrow) caps every column at Partial.</t>
  </si>
  <si>
    <t xml:space="preserve">AI-enabled services</t>
  </si>
  <si>
    <t xml:space="preserve">7.12 binds AGI</t>
  </si>
  <si>
    <t xml:space="preserve">Ruling pending ratification: the consent-and-rights prerequisite binds the agricultural-intelligence column.</t>
  </si>
  <si>
    <t xml:space="preserve">The shared ladder — scoring an indicator that is not a measurement</t>
  </si>
  <si>
    <t xml:space="preserve">Ask in stages: presence first, then quality, then scale. Stop at the first rung the evidence does not support.</t>
  </si>
  <si>
    <t xml:space="preserve">Level</t>
  </si>
  <si>
    <t xml:space="preserve">Condition</t>
  </si>
  <si>
    <t xml:space="preserve">Evidence required</t>
  </si>
  <si>
    <t xml:space="preserve">Absent</t>
  </si>
  <si>
    <t xml:space="preserve">The search that established absence: sources consulted, in order.</t>
  </si>
  <si>
    <t xml:space="preserve">Announced</t>
  </si>
  <si>
    <t xml:space="preserve">The announcement, draft or commitment, cited.</t>
  </si>
  <si>
    <t xml:space="preserve">Adopted, or operating narrowly</t>
  </si>
  <si>
    <t xml:space="preserve">The instrument or system itself, with its adoption date or its operating footprint.</t>
  </si>
  <si>
    <t xml:space="preserve">Operating with quality</t>
  </si>
  <si>
    <t xml:space="preserve">Governance, funding and institutionalisation — the evidence that it is run, not just live.</t>
  </si>
  <si>
    <t xml:space="preserve">Operating at scale, with evidence of use</t>
  </si>
  <si>
    <t xml:space="preserve">Coverage or reach in the indicator's own unit, from a source that is not the operator's own claim.</t>
  </si>
  <si>
    <t xml:space="preserve">A scale figure reported only by the operator of the service does not carry rung 5.</t>
  </si>
  <si>
    <t xml:space="preserve">Source tiers — what may carry what</t>
  </si>
  <si>
    <t xml:space="preserve">Tiers are reported beside the evidence class and never weighted. Search in tier order and stop when found; a dead end is recorded as a gap with its trail.</t>
  </si>
  <si>
    <t xml:space="preserve">What it is</t>
  </si>
  <si>
    <t xml:space="preserve">Typical sources</t>
  </si>
  <si>
    <t xml:space="preserve">Admissible for</t>
  </si>
  <si>
    <t xml:space="preserve">T1</t>
  </si>
  <si>
    <t xml:space="preserve">Official statistics &amp; international databases</t>
  </si>
  <si>
    <t xml:space="preserve">FAOSTAT · AQUASTAT · World Bank WDI/ID4D/Findex · ITU · UN DESA · national statistical offices</t>
  </si>
  <si>
    <t xml:space="preserve">Any claim. The default for every number.</t>
  </si>
  <si>
    <t xml:space="preserve">T2</t>
  </si>
  <si>
    <t xml:space="preserve">Peer-reviewed literature &amp; IO flagship reports</t>
  </si>
  <si>
    <t xml:space="preserve">Journals · systematic reviews · World Bank / FAO / IFPRI / CGIAR flagships · evaluated impact studies</t>
  </si>
  <si>
    <t xml:space="preserve">Any claim. Required for impact and effectiveness claims.</t>
  </si>
  <si>
    <t xml:space="preserve">T3</t>
  </si>
  <si>
    <t xml:space="preserve">Government legal, policy &amp; budget artefacts</t>
  </si>
  <si>
    <t xml:space="preserve">Gazetted laws · adopted strategies · budgets · regulator reports · official programme pages</t>
  </si>
  <si>
    <t xml:space="preserve">Presence facts, policy intent, programme design — not outcomes.</t>
  </si>
  <si>
    <t xml:space="preserve">T4</t>
  </si>
  <si>
    <t xml:space="preserve">Reputable grey literature</t>
  </si>
  <si>
    <t xml:space="preserve">GSMA · GIZ · USAID · AGRA · AfDB · donor evaluations · established industry analyses</t>
  </si>
  <si>
    <t xml:space="preserve">Context and sector narrative, flagged as T4; presence facts where T3 is silent.</t>
  </si>
  <si>
    <t xml:space="preserve">T5</t>
  </si>
  <si>
    <t xml:space="preserve">News, vendor &amp; market material</t>
  </si>
  <si>
    <t xml:space="preserve">Press · company sites · market-research releases · blogs</t>
  </si>
  <si>
    <t xml:space="preserve">Initiative register only, existence facts only. A T5-only citation derives the class Judged, never Documented.</t>
  </si>
  <si>
    <t xml:space="preserve">· Every citation is a deep link to the document, with an access date. A link that resolves only to a domain root is not a citation.</t>
  </si>
  <si>
    <t xml:space="preserve">· A load-bearing number needs two independent T1–T2 confirmations, or it ships flagged single-source.</t>
  </si>
  <si>
    <t xml:space="preserve">· Vintage beats tier at the margin for narrative; the scored row still records the official figure and its staleness honestly.</t>
  </si>
  <si>
    <t xml:space="preserve">Egypt — DAMM v1.7 assessment</t>
  </si>
  <si>
    <t xml:space="preserve">Edit only the yellow columns (M–R). Everything else is model reference or derived by formula.</t>
  </si>
  <si>
    <t xml:space="preserve">ID</t>
  </si>
  <si>
    <t xml:space="preserve">Indicator</t>
  </si>
  <si>
    <t xml:space="preserve">Pillar</t>
  </si>
  <si>
    <t xml:space="preserve">Layer</t>
  </si>
  <si>
    <t xml:space="preserve">Use cases</t>
  </si>
  <si>
    <t xml:space="preserve">Prereq</t>
  </si>
  <si>
    <t xml:space="preserve">Meth</t>
  </si>
  <si>
    <t xml:space="preserve">Dir</t>
  </si>
  <si>
    <t xml:space="preserve">L2</t>
  </si>
  <si>
    <t xml:space="preserve">L3</t>
  </si>
  <si>
    <t xml:space="preserve">L4</t>
  </si>
  <si>
    <t xml:space="preserve">L5</t>
  </si>
  <si>
    <t xml:space="preserve">Source</t>
  </si>
  <si>
    <t xml:space="preserve">Source URL</t>
  </si>
  <si>
    <t xml:space="preserve">Year</t>
  </si>
  <si>
    <t xml:space="preserve">Class</t>
  </si>
  <si>
    <t xml:space="preserve">Stale</t>
  </si>
  <si>
    <t xml:space="preserve">b_ADV</t>
  </si>
  <si>
    <t xml:space="preserve">b_SMF</t>
  </si>
  <si>
    <t xml:space="preserve">b_MKT</t>
  </si>
  <si>
    <t xml:space="preserve">b_SCM</t>
  </si>
  <si>
    <t xml:space="preserve">b_FIN</t>
  </si>
  <si>
    <t xml:space="preserve">b_AGI</t>
  </si>
  <si>
    <t xml:space="preserve">Open definition question (for ratification)</t>
  </si>
  <si>
    <t xml:space="preserve">Ratification hold</t>
  </si>
  <si>
    <t xml:space="preserve">1.1</t>
  </si>
  <si>
    <t xml:space="preserve">Agriculture value added per worker (USD)</t>
  </si>
  <si>
    <t xml:space="preserve">A1</t>
  </si>
  <si>
    <t xml:space="preserve">Foundation</t>
  </si>
  <si>
    <t xml:space="preserve">NEED</t>
  </si>
  <si>
    <t xml:space="preserve">T</t>
  </si>
  <si>
    <t xml:space="preserve">H</t>
  </si>
  <si>
    <t xml:space="preserve">World Bank WDI NV.AGR.EMPL.KD</t>
  </si>
  <si>
    <t xml:space="preserve">https://api.worldbank.org/v2/country/EGY/indicator/NV.AGR.EMPL.KD?format=json&amp;mrnev=1&amp;per_page=5</t>
  </si>
  <si>
    <t xml:space="preserve">The name says "Agriculture... (USD)" but both countries record WDI NV.AGR.EMPL.KD, which covers agriculture, forestry AND fishing and is denominated in constant 2015 US$ — neither the sector scope nor the price basis is stated in the name or in the bare-USD thresholds, and neither row carries…</t>
  </si>
  <si>
    <t xml:space="preserve">1.2</t>
  </si>
  <si>
    <t xml:space="preserve">Cereal yield (kg/ha)</t>
  </si>
  <si>
    <t xml:space="preserve">World Bank WDI AG.YLD.CREL.KG</t>
  </si>
  <si>
    <t xml:space="preserve">https://api.worldbank.org/v2/country/EGY/indicator/AG.YLD.CREL.KG?format=json&amp;mrnev=1&amp;per_page=5</t>
  </si>
  <si>
    <t xml:space="preserve">1.3</t>
  </si>
  <si>
    <t xml:space="preserve">Employment in agriculture (%)</t>
  </si>
  <si>
    <t xml:space="preserve">L</t>
  </si>
  <si>
    <t xml:space="preserve">World Bank WDI SL.AGR.EMPL.ZS (ILO modeled estimate)</t>
  </si>
  <si>
    <t xml:space="preserve">https://api.worldbank.org/v2/country/EGY/indicator/SL.AGR.EMPL.ZS?format=json&amp;mrnev=1&amp;per_page=5</t>
  </si>
  <si>
    <t xml:space="preserve">The name omits the denominator (% of total employment), the recorded series covers ISIC-A (agriculture, hunting, forestry and fishing) rather than agriculture alone, and both rows carry an ILO MODELLED 2025 nowcast under cls "Measured" — the register's highest evidence class — which the…</t>
  </si>
  <si>
    <t xml:space="preserve">1.4</t>
  </si>
  <si>
    <t xml:space="preserve">Food production index (2014-16=100)</t>
  </si>
  <si>
    <t xml:space="preserve">World Bank WDI AG.PRD.FOOD.XD</t>
  </si>
  <si>
    <t xml:space="preserve">https://api.worldbank.org/v2/country/EGY/indicator/AG.PRD.FOOD.XD?format=json&amp;mrnev=1&amp;per_page=5</t>
  </si>
  <si>
    <t xml:space="preserve">1.5</t>
  </si>
  <si>
    <t xml:space="preserve">Post-harvest loss rate (%)</t>
  </si>
  <si>
    <t xml:space="preserve">No single national post-harvest loss rate exists. Cereals (labelled, admissible): ~10% pre- and post-harvest losses (SADS 2030, estimate c.2009); wheat losses in traditional shona storage 10-20% (FAO 2019). Horticulture:</t>
  </si>
  <si>
    <t xml:space="preserve">FAO (2019), Food loss and waste in Egypt, CA4310EN, FAO Representation in Egypt</t>
  </si>
  <si>
    <t xml:space="preserve">https://openknowledge.fao.org/server/api/core/bitstreams/3d94597d-cc5c-420a-8faa-0fe284d5c921/content</t>
  </si>
  <si>
    <t xml:space="preserve">The name asserts an all-crop national post-harvest loss rate; both countries record cereals-only figures, and Egypt's scored figure is described by its own source as covering pre- AND post-harvest losses.</t>
  </si>
  <si>
    <t xml:space="preserve">1.6</t>
  </si>
  <si>
    <t xml:space="preserve">Smallholder access to formal markets (%)</t>
  </si>
  <si>
    <t xml:space="preserve">NEED,MKT</t>
  </si>
  <si>
    <t xml:space="preserve">No national figure. Upper Egypt (regional, labelled): 6% of surveyed smallholder households participate in contract farming (farm household survey Apr-May 2018, seven Upper Egypt governorates, n=2,237 households; IFPRI).</t>
  </si>
  <si>
    <t xml:space="preserve">Tabe-Ojong, M.P. Jr. &amp; Abay, K.A. (2023), Smallholder farmers' participation in profitable value chains and contract farming: Evidence from irrigated agriculture in Egypt, IFPRI MENA Working Paper 42</t>
  </si>
  <si>
    <t xml:space="preserve">https://cgspace.cgiar.org/items/b1bc85c0-7505-4fb7-9957-d7588eea9756</t>
  </si>
  <si>
    <t xml:space="preserve">The name asserts national smallholder ACCESS to formal markets; Egypt records a regional contract-farming PARTICIPATION rate from seven governorates and Nigeria a 2012/13 channel-of-sale share — two different constructs, neither of which is access, and neither national in Egypt's case.</t>
  </si>
  <si>
    <t xml:space="preserve">1.7</t>
  </si>
  <si>
    <t xml:space="preserve">Agricultural credit access (% farmers)</t>
  </si>
  <si>
    <t xml:space="preserve">NEED,FIN</t>
  </si>
  <si>
    <t xml:space="preserve">No direct '% of farmers with agricultural credit' figure exists for Egypt. Nearest labelled figures: only 2.3% of rural individuals aged 15+ had loans from formal financial institutions (ELMPS 2018, CAPMAS national panel</t>
  </si>
  <si>
    <t xml:space="preserve">Mansour, S., Samak, N. &amp; Gad, N. (2024), Credit Choices in Rural Egypt: A Comparative Study of Formal and Informal Borrowing, Journal of Risk and Financial Management 17(11): 487</t>
  </si>
  <si>
    <t xml:space="preserve">https://doi.org/10.3390/jrfm17110487</t>
  </si>
  <si>
    <t xml:space="preserve">The name asserts a share of FARMERS with credit ACCESS; Egypt records rural adults aged 15+ (a population that includes non-farmers) and Nigeria records smallholder households, and both measure borrowing/use rather than access.</t>
  </si>
  <si>
    <t xml:space="preserve">1.8</t>
  </si>
  <si>
    <t xml:space="preserve">Farmers using climate-smart practices (%)</t>
  </si>
  <si>
    <t xml:space="preserve">NEED,ADV</t>
  </si>
  <si>
    <t xml:space="preserve">No all-practice national CSA rate. Practice-specific (labelled): raised-bed wheat cultivation tripled 113,500 ha (2013/14) to 334,000 ha (2016/17) ~46% of wheat area; laser levelling and deficit-irrigation adoption documented</t>
  </si>
  <si>
    <t xml:space="preserve">USDA GAIN Egypt grain report (primary PDF); FAO/WB corroboration</t>
  </si>
  <si>
    <t xml:space="preserve">https://apps.fas.usda.gov/newgainapi/api/report/downloadreportbyfilename?filename=Grain%20and%20Feed%20Annual_Cairo_Egypt_3-15-2017.pdf</t>
  </si>
  <si>
    <t xml:space="preserve">The name counts FARMERS adopting climate-smart practices; Egypt records a share of WHEAT AREA under a single practice and Nigeria a share of farmers in two zones adopting at least one climate-resilient crop TRAIT — land, practice-basket and geographic scope all differ from the name.</t>
  </si>
  <si>
    <t xml:space="preserve">HOLD</t>
  </si>
  <si>
    <t xml:space="preserve">8.1</t>
  </si>
  <si>
    <t xml:space="preserve">Prevalence of undernourishment (%)</t>
  </si>
  <si>
    <t xml:space="preserve">World Bank WDI SN.ITK.DEFC.ZS</t>
  </si>
  <si>
    <t xml:space="preserve">https://api.worldbank.org/v2/country/EGY/indicator/SN.ITK.DEFC.ZS?format=json&amp;mrnev=1&amp;per_page=5</t>
  </si>
  <si>
    <t xml:space="preserve">8.5</t>
  </si>
  <si>
    <t xml:space="preserve">Women who own land (% holders)</t>
  </si>
  <si>
    <t xml:space="preserve">NEED,EQ</t>
  </si>
  <si>
    <t xml:space="preserve">FAOSTAT, World Census of Agriculture domain — Egypt, item 'Civil holders, female', element 'Percent of total persons (holders)', Agricultural Census 2009/10 (CAPMAS)</t>
  </si>
  <si>
    <t xml:space="preserve">https://bulks-faostat.fao.org/production/World_Census_Agriculture_E_All_Data.zip</t>
  </si>
  <si>
    <t xml:space="preserve">⚠ The indicator name says women who OWN land while the canonical statistic counts women agricultural holders (operators), who may rent rather than own.</t>
  </si>
  <si>
    <t xml:space="preserve">2.1</t>
  </si>
  <si>
    <t xml:space="preserve">Rural mobile broadband coverage (3G/4G)</t>
  </si>
  <si>
    <t xml:space="preserve">C1</t>
  </si>
  <si>
    <t xml:space="preserve">ALL</t>
  </si>
  <si>
    <t xml:space="preserve">UNIVERSAL</t>
  </si>
  <si>
    <t xml:space="preserve">DATA GAP — no rural-specific mobile broadband coverage is published for Egypt by ITU, NTRA or MCIT. Context (not scored): national population coverage at least 3G = 99.8% (ITU DataHub, 2025)</t>
  </si>
  <si>
    <t xml:space="preserve">Structured source search, 22 August 2026</t>
  </si>
  <si>
    <t xml:space="preserve">⚠ The name asserts RURAL coverage, but Egypt's row records the ITU national at-least-3G figure as a clean cls="Measured" number that scores level 5 mechanically, while Nigeria records a rural-but-4G-only modeled estimate — so the register's only universal connectivity prerequisite carries a…</t>
  </si>
  <si>
    <t xml:space="preserve">2.4</t>
  </si>
  <si>
    <t xml:space="preserve">Individuals using the Internet (%)</t>
  </si>
  <si>
    <t xml:space="preserve">World Bank WDI IT.NET.USER.ZS</t>
  </si>
  <si>
    <t xml:space="preserve">https://api.worldbank.org/v2/country/EGY/indicator/IT.NET.USER.ZS?format=json&amp;mrnev=1&amp;per_page=5</t>
  </si>
  <si>
    <t xml:space="preserve">2.5</t>
  </si>
  <si>
    <t xml:space="preserve">Mobile broadband price (% GNI pc)</t>
  </si>
  <si>
    <t xml:space="preserve">ITU DataHub — Other ICT price baskets: Data-only mobile-broadband basket (2GB) (2021-2024 definition), % of GNI p.c. — Egypt (accessed 2026-08-22)</t>
  </si>
  <si>
    <t xml:space="preserve">https://datahub.itu.int/data/?e=EGY&amp;i=100123&amp;s=34593</t>
  </si>
  <si>
    <t xml:space="preserve">The name fixes neither the basket allowance (2GB vs ITU's 2025 headline 5GB), nor the basket type (data-only vs voice+data), nor whether "% GNI pc" is monthly or annual — and Egypt's value sits on a series ITU has retired to a legacy label while Nigeria's comes from the live headline series id,…</t>
  </si>
  <si>
    <t xml:space="preserve">2.7</t>
  </si>
  <si>
    <t xml:space="preserve">Rural smartphone ownership (%)</t>
  </si>
  <si>
    <t xml:space="preserve">MCIT ICT Indicators Quarterly Bulletin, June 2022 (Q2 2022), p.6 — 'Households with Smartphone according to (Urban/Rural)', reporting the MCIT/CAPMAS 'ICT usage in household and individuals' survey 2021-2022</t>
  </si>
  <si>
    <t xml:space="preserve">https://mcit.gov.eg/Upcont/Documents/Publications_2482022000_ICT_Indicators_Quarterly_Bulletin_Q2_2022_24082022.pdf</t>
  </si>
  <si>
    <t xml:space="preserve">"Ownership" of a personal device implies individuals; both countries record the share of rural HOUSEHOLDS owning at least one smartphone, which reads systematically higher than the individual measure.</t>
  </si>
  <si>
    <t xml:space="preserve">2.9</t>
  </si>
  <si>
    <t xml:space="preserve">Rural electricity access (%)</t>
  </si>
  <si>
    <t xml:space="preserve">World Bank WDI EG.ELC.ACCS.RU.ZS</t>
  </si>
  <si>
    <t xml:space="preserve">https://api.worldbank.org/v2/country/EGY/indicator/EG.ELC.ACCS.RU.ZS?format=json&amp;mrnev=1&amp;per_page=5</t>
  </si>
  <si>
    <t xml:space="preserve">2.11</t>
  </si>
  <si>
    <t xml:space="preserve">Device financing/subsidy schemes</t>
  </si>
  <si>
    <t xml:space="preserve">No government or telco device-financing/subsidy scheme targeting low-income or rural users found for Egypt (searched 2026-08-22). What exists instead: (1) commercial telco handset installments — Telecom Egypt 'WE Gold' p</t>
  </si>
  <si>
    <t xml:space="preserve">NTRA (tra.gov.eg) — 'Start of the installment service for fees due on mobile phones imported from abroad through consumer finance companies' (Arabic, 6 April 2026); NTRA — 'End of exceptional exemption on imported mobile phones' (21 Jan 2026)</t>
  </si>
  <si>
    <t xml:space="preserve">https://www.tra.gov.eg/ar/%D8%A8%D8%AF%D8%A1-%D8%AA%D8%B7%D8%A8%D9%8A%D9%82-%D8%AE%D8%AF%D9%85%D8%A9-%D8%AA%D9%82%D8%B3%D9%8A%D8%B7-%D8%A7%D9%84%D8%B1%D8%B3%D9%88%D9%85-%D8%A7%D9%84%D9%85%D8%B3%D8%AA%D8%AD%D9%82%D8%A9-%D8%B9/</t>
  </si>
  <si>
    <t xml:space="preserve">The ladder's name fixes neither a targeting test nor whether a subsidy is required, and the two countries applied opposite tests to the same class of evidence — commercial telco handset instalments — producing a two-rung divergence.</t>
  </si>
  <si>
    <t xml:space="preserve">3.1</t>
  </si>
  <si>
    <t xml:space="preserve">UN E-Government Development Index</t>
  </si>
  <si>
    <t xml:space="preserve">C2</t>
  </si>
  <si>
    <t xml:space="preserve">Enablers</t>
  </si>
  <si>
    <t xml:space="preserve">AGI,ALL</t>
  </si>
  <si>
    <t xml:space="preserve">UN E-Government Knowledgebase — Egypt country profile (E-Government Survey 2024)</t>
  </si>
  <si>
    <t xml:space="preserve">https://publicadministration.un.org/egovkb/en-us/Data/Country-Information/id/53-Egypt</t>
  </si>
  <si>
    <t xml:space="preserve">3.3</t>
  </si>
  <si>
    <t xml:space="preserve">National farmer registry</t>
  </si>
  <si>
    <t xml:space="preserve">FIN,AGI,ADV</t>
  </si>
  <si>
    <t xml:space="preserve">UC:FIN,AGI</t>
  </si>
  <si>
    <t xml:space="preserve">National farmer registry EXISTS and is OPERATING: the MALR 'Farmer Card' (كارت الفلاح) smart-card system is the national electronic agricultural holding registry. MALR spokesperson (via SIS, 28 Mar 2026): ~5 million farm</t>
  </si>
  <si>
    <t xml:space="preserve">SIS (State Information Service): 'Agriculture spokesperson: continued efforts to ensure support reaches farmers through the Farmer Card' [Arabic], 28 March 2026</t>
  </si>
  <si>
    <t xml:space="preserve">https://sis.gov.eg/ar/%D8%A7%D9%84%D9%85%D8%B1%D9%83%D8%B2-%D8%A7%D9%84%D8%A5%D8%B9%D9%84%D8%A7%D9%85%D9%8A/%D8%A7%D9%84%D8%A3%D8%AE%D8%A8%D8%A7%D8%B1/%D9%85%D8%AA%D8%AD%D8%AF%D8%AB-%D8%A7%D9%84%D8%B2%D8%B1%D8%A7%D8%B9%D8%A9-%D8%AC%D9%87%D9%88%D8%AF-%D9%85%D8%B3%D8%AA%D9%85%D8%B1%D8%A9-%D9%84%D8%B6%D9%85%D8%A7%D9%86-%D9%88%D8%B5%D9%88%D9%84-%D8%A7%D9%84%D8%AF%D8%B9%D9%85-%D9%84%D9%84%D9%85%D8%B2%D8%A7%D8%B1%D8%B9%D9%8A%D9%86-%D9%85%D9%86-%D8%AE%D9%84%D8%A7%D9%84-%D9%83%D8%A7%D8%B1%D8%AA-%D8%A7%D9%84%D9%81%D9%84%D8%A7%D8%AD/</t>
  </si>
  <si>
    <t xml:space="preserve">The name implies a register of farmers (individuals), but Egypt's record is an agricultural holding registry embedded in a subsidy smart-card scheme, whose scale figures mix four non-comparable units — cards printed, cards distributed, farmers benefiting, and holdings registered — with no…</t>
  </si>
  <si>
    <t xml:space="preserve">3.4</t>
  </si>
  <si>
    <t xml:space="preserve">Digital land/plot registration</t>
  </si>
  <si>
    <t xml:space="preserve">FIN,AGI</t>
  </si>
  <si>
    <t xml:space="preserve">Digital land registration is ADOPTED but not yet a comprehensive operating digital cadastre. New: Law No. 88 of 2025 (signed 18 June 2025; Official Gazette issue 24-bis, 17 June 2025) establishes a unified national elect</t>
  </si>
  <si>
    <t xml:space="preserve">SIS: 'President El-Sisi Signs Law Establishing National Real Estate Identification Number Database' (Law 88/2025), June 2025</t>
  </si>
  <si>
    <t xml:space="preserve">https://sis.gov.eg/Story/209329/President-El--Sisi-Signs-Law-Establishing-National-Real-Estate-Identification-Number-Database?lang=en-us</t>
  </si>
  <si>
    <t xml:space="preserve">The name reads as one object but three distinct registers are in play — legal title, a national all-property real-estate ID database, and agricultural usufruct/holding records — and Egypt's rung-3 anchor is an economy-wide real-estate identification law (urban property included) scored inside an…</t>
  </si>
  <si>
    <t xml:space="preserve">3.5</t>
  </si>
  <si>
    <t xml:space="preserve">Open agricultural data (machine-readable, AI-ready)</t>
  </si>
  <si>
    <t xml:space="preserve">AGI,ADV,SMF</t>
  </si>
  <si>
    <t xml:space="preserve">Open agricultural data is ADOPTED in policy but the national open-data portal is NOT yet live. Egypt's first Open Data Policy (issued by the National Council for Artificial Intelligence, 2025; prepared by MCIT; reported</t>
  </si>
  <si>
    <t xml:space="preserve">Open Data Policy, Arab Republic of Egypt — issued by the National Council for Artificial Intelligence, 2025 (official PDF on ai.gov.eg)</t>
  </si>
  <si>
    <t xml:space="preserve">https://ai.gov.eg/SynchedFiles/en/Resources/Open%20Data%20Policy.pdf</t>
  </si>
  <si>
    <t xml:space="preserve">⚠ The name asserts three conjoined qualifiers — open, machine-readable, AI-ready — and Nigeria scores rung 4 ('Operating with quality') on a registration-gated statistical microdata catalog that the cell's own text says is neither open nor AI-ready, while Nigeria's actual open-data portals are…</t>
  </si>
  <si>
    <t xml:space="preserve">3.6</t>
  </si>
  <si>
    <t xml:space="preserve">Weather/climate data infrastructure</t>
  </si>
  <si>
    <t xml:space="preserve">ADV,SMF,AGI</t>
  </si>
  <si>
    <t xml:space="preserve">Weather/climate data infrastructure is OPERATING with ag-tailored services. The Egyptian Meteorological Authority (EMA) is the operational national met service (official site www.ema.gov.eg resolves; agrometeorology is a</t>
  </si>
  <si>
    <t xml:space="preserve">SIS: 'Agriculture issues its recommendations to farmers on dealing with the unstable weather wave in the coming days' [Arabic] (CLAC/ARC advisory)</t>
  </si>
  <si>
    <t xml:space="preserve">https://sis.gov.eg/ar/%D8%A7%D9%84%D9%85%D8%B1%D9%83%D8%B2-%D8%A7%D9%84%D8%A5%D8%B9%D9%84%D8%A7%D9%85%D9%8A/%D8%A7%D9%84%D8%A3%D8%AE%D8%A8%D8%A7%D8%B1/%D8%A7%D9%84%D8%B2%D8%B1%D8%A7%D8%B9%D8%A9-%D8%AA%D8%B5%D8%AF%D8%B1-%D8%AA%D9%88%D8%B5%D9%8A%D8%A7%D8%AA%D9%87%D8%A7-%D9%84%D9%84%D9%85%D8%B2%D8%A7%D8%B1%D8%B9%D9%8A%D9%86-%D9%81%D9%8A-%D9%83%D9%8A%D9%81%D9%8A%D8%A9-%D8%A7%D9%84%D8%AA%D8%B9%D8%A7%D9%85%D9%84-%D9%85%D8%B9-%D9%85%D9%88%D8%AC%D8%A9-%D8%A7%D9%84%D8%B7%D9%82%D8%B3-%D8%BA%D9%8A%D8%B1-%D9%85%D8%B3%D8%AA%D9%82%D8%B1%D8%A9-%D8%AE%D9%84%D8%A7%D9%84-%D8%A7%D9%84%D8%A3%D9%8A%D8%A7%D9%85-%D8%A7%D9%84%D9%82%D8%A7%D8%AF%D9%85%D8%A9/</t>
  </si>
  <si>
    <t xml:space="preserve">The name is data infrastructure — observation networks, archives, data access — but both countries are scored at rung 4 on advisory products issued to farmers, with no station density, archive, API or data-access evidence recorded on either row, and the advisory content overlaps indicator 8.17…</t>
  </si>
  <si>
    <t xml:space="preserve">3.7</t>
  </si>
  <si>
    <t xml:space="preserve">Satellite/EO data integration</t>
  </si>
  <si>
    <t xml:space="preserve">AGI,SMF</t>
  </si>
  <si>
    <t xml:space="preserve">Satellite/EO integration in agriculture is OPERATING beyond pilots. T3 (MALR press conference, 6 Dec 2021): MALR and MCIT used AI to inventory the cropped area of each crop on the ground ('completed the summer-season cro</t>
  </si>
  <si>
    <t xml:space="preserve">MALR: 'Ministers of Agriculture and Communications announce pilot launch of digital transformation services in the agricultural sector' [Arabic], 6 December 2021 (includes completed AI crop-area inventory)</t>
  </si>
  <si>
    <t xml:space="preserve">https://moa.gov.eg/highlights/%D8%AE%D8%AF%D9%85%D8%A7%D8%AA-%D8%A7%D9%84%D8%AA%D8%AD%D9%88%D9%84-%D8%A7%D9%84%D8%B1%D9%82%D9%85%D9%89/</t>
  </si>
  <si>
    <t xml:space="preserve">The name fixes neither the object nor the bar for 'integration' — Egypt is scored rung 4 on producing national crop maps, Nigeria rung 3 on institutional arrangements — and Egypt's 'operating beyond pilots' assertion rests on a source whose own title announces a pilot launch, recorded under year…</t>
  </si>
  <si>
    <t xml:space="preserve">3.8</t>
  </si>
  <si>
    <t xml:space="preserve">National soil map/database</t>
  </si>
  <si>
    <t xml:space="preserve">ADV,SMF</t>
  </si>
  <si>
    <t xml:space="preserve">No operating national digital soil map/database service found — best-verified status is ABSENT for a public national digital soil information service, with legacy and research assets: FAO Soils Portal hosts legacy (digit</t>
  </si>
  <si>
    <t xml:space="preserve">FAO Soils Portal — Regional and National Soil Maps and Databases (Egypt legacy maps)</t>
  </si>
  <si>
    <t xml:space="preserve">https://www.fao.org/soils-portal/data-hub/soil-maps-and-databases/regional-and-national-soil-maps-and-databases/en/</t>
  </si>
  <si>
    <t xml:space="preserve">Does a digitized legacy paper soil map satisfy the indicator, or does the ladder measure an operating digital soil information service?</t>
  </si>
  <si>
    <t xml:space="preserve">3.11</t>
  </si>
  <si>
    <t xml:space="preserve">Agricultural data interoperability standards</t>
  </si>
  <si>
    <t xml:space="preserve">UC:AGI</t>
  </si>
  <si>
    <t xml:space="preserve">No published agricultural data interoperability standards/schemas found for Egypt — ABSENT after active refutation attempt. Nearest instruments, none ag-specific: (1) Open Data Policy (NCAI, 2025, T3) mandates cross-gove</t>
  </si>
  <si>
    <t xml:space="preserve">Open Data Policy, Arab Republic of Egypt (NCAI, 2025) — closest instrument; no ag-specific standard exists</t>
  </si>
  <si>
    <t xml:space="preserve">Must the standard be agriculture-specific, or do cross-government open-data/DPI instruments and draft harmonisation work count as Present/Announced for this prerequisite cell?</t>
  </si>
  <si>
    <t xml:space="preserve">4.1</t>
  </si>
  <si>
    <t xml:space="preserve">Data protection/privacy law</t>
  </si>
  <si>
    <t xml:space="preserve">C3</t>
  </si>
  <si>
    <t xml:space="preserve">Personal Data Protection Law No. 151/2020 in force since October 2020; Executive Regulations issued by Decree No. 816/2025 of the Minister of Communications and Information Technology on 1 November 2025, published in the</t>
  </si>
  <si>
    <t xml:space="preserve">Shalakany Law Office, "New Executive Regulations for Egypt's Personal Data Protection Law" (Dec 2025) — full-text analysis of Decree 816/2025</t>
  </si>
  <si>
    <t xml:space="preserve">https://shalakany.com/wp-content/uploads/2025/12/New-Executive-Regulations-for-Egypts-Personal-Data-Protection-Law-.pdf</t>
  </si>
  <si>
    <t xml:space="preserve">4.2</t>
  </si>
  <si>
    <t xml:space="preserve">Cybersecurity framework (ITU GCI)</t>
  </si>
  <si>
    <t xml:space="preserve">ITU Global Cybersecurity Index 2024 (5th edition) — Egypt in Tier 1 'Role-modelling' (score band 95-100); exact score 100/100 per NTRA announcement</t>
  </si>
  <si>
    <t xml:space="preserve">https://www.itu.int/dms_pub/itu-d/opb/hdb/D-HDB-GCI.01-2024-PDF-E.pdf</t>
  </si>
  <si>
    <t xml:space="preserve">Thresholds are defined on a 0–1 basis but Egypt is recorded as 100 and Nigeria as 0.824, so the same register column holds two incommensurable scales; separately, neither number is an overall score ITU actually publishes in the GCI 2024 report.</t>
  </si>
  <si>
    <t xml:space="preserve">4.3</t>
  </si>
  <si>
    <t xml:space="preserve">Government AI Readiness Index</t>
  </si>
  <si>
    <t xml:space="preserve">Oxford Insights Government AI Readiness Index 2024 — Full rankings annex: Egypt total 55.63 (Government 68.98, Technology Sector 42.13, Data &amp; Infrastructure 55.77)</t>
  </si>
  <si>
    <t xml:space="preserve">https://oxfordinsights.com/wp-content/uploads/2024/12/2024-Government-AI-Readiness-Index.pdf</t>
  </si>
  <si>
    <t xml:space="preserve">Now that the 2025 edition dropped the open overall score, does the cell score the stale 2024 overall score, substitute rank plus pillar scores, or gap?</t>
  </si>
  <si>
    <t xml:space="preserve">4.4</t>
  </si>
  <si>
    <t xml:space="preserve">National digital agriculture strategy</t>
  </si>
  <si>
    <t xml:space="preserve">No dedicated national digital agriculture strategy identified as of August 2026. Digital agriculture exists as components inside broader frameworks: (a) the updated Sustainable Agricultural Development Strategy (SADS 203</t>
  </si>
  <si>
    <t xml:space="preserve">MCIT press release, 'ICT Minister, Agriculture Minister follow up on joint digital transformation projects', 9 June 2021</t>
  </si>
  <si>
    <t xml:space="preserve">https://mcit.gov.eg/en/Media_Center/Press_Room/Press_Releases/63422</t>
  </si>
  <si>
    <t xml:space="preserve">Does the indicator score only a dedicated digital-agriculture strategy document, or does it credit digital-ag components embedded in broader national strategies and active programmes running without a strategy?</t>
  </si>
  <si>
    <t xml:space="preserve">4.5</t>
  </si>
  <si>
    <t xml:space="preserve">Agricultural data governance framework</t>
  </si>
  <si>
    <t xml:space="preserve">AGI,FIN</t>
  </si>
  <si>
    <t xml:space="preserve">No agricultural data governance framework (sector-specific rules on agricultural data sharing, ownership or use) identified — refutation attempt failed. The general PDPL 151/2020 and its Executive Regulations (Decree 816</t>
  </si>
  <si>
    <t xml:space="preserve">OECD, Policies for the Future of Farming and Food in Egypt (agricultural policy review — no agricultural data governance instrument appears)</t>
  </si>
  <si>
    <t xml:space="preserve">https://www.oecd.org/en/publications/policies-for-the-future-of-farming-and-food-in-egypt_cab0cefd-en/full-report/trends-and-evaluation-of-agricultural-policy-in-egypt_416e1bd0.html</t>
  </si>
  <si>
    <t xml:space="preserve">4.6</t>
  </si>
  <si>
    <t xml:space="preserve">National AI strategy with agriculture component</t>
  </si>
  <si>
    <t xml:space="preserve">Egypt National AI Strategy, 2nd edition (2025-2030), unveiled January 2025 (1st edition 2021), explicitly includes agriculture: named among strategic sectors for AI integration ('agriculture, manufacturing, defense, educ</t>
  </si>
  <si>
    <t xml:space="preserve">Egypt National Artificial Intelligence Strategy, Second Edition 2025-2030 (official English text, ai.gov.eg, 16 Jan 2025)</t>
  </si>
  <si>
    <t xml:space="preserve">https://ai.gov.eg/SynchedFiles/en/Resources/AIstrategy%20English%2016-1-2025-1.pdf</t>
  </si>
  <si>
    <t xml:space="preserve">What evidence makes a strategy 'Adopted' — official publication, or formal executive/cabinet approval?</t>
  </si>
  <si>
    <t xml:space="preserve">4.7</t>
  </si>
  <si>
    <t xml:space="preserve">Digital ID coverage (%)</t>
  </si>
  <si>
    <t xml:space="preserve">FIN,ALL</t>
  </si>
  <si>
    <t xml:space="preserve">UC:FIN</t>
  </si>
  <si>
    <t xml:space="preserve">World Bank Identification for Development (ID4D) Data — ID ownership, total (% of population ages 15+), Egypt, 2024 observation: 98.78 (API value 98.7781785562663; source 89, indicator ID.OWN.TOTL.ZS; 2025 dataset update based on the Global Findex 2024 survey round)</t>
  </si>
  <si>
    <t xml:space="preserve">https://api.worldbank.org/v2/country/EGY/indicator/ID.OWN.TOTL.ZS?format=json&amp;source=89</t>
  </si>
  <si>
    <t xml:space="preserve">⚠ The name asserts a digital ID, but Egypt records the World Bank ID4D foundational national-ID-card ownership series while ID4D's actual digital-ID series exists and was not used — and on top of that the two countries are recorded on different denominators (Egypt % of adults 15+, Nigeria % of…</t>
  </si>
  <si>
    <t xml:space="preserve">4.9</t>
  </si>
  <si>
    <t xml:space="preserve">Inter-ministerial coordination mechanism</t>
  </si>
  <si>
    <t xml:space="preserve">DELIVERY</t>
  </si>
  <si>
    <t xml:space="preserve">No gazetted standing inter-ministerial committee for digital agriculture identified; what exists and is documented is a continuous de facto coordination mechanism between MALR and MCIT: recurring joint ministerial review</t>
  </si>
  <si>
    <t xml:space="preserve">MCIT press release, 9 June 2021 — ICT and Agriculture Ministers follow up on joint digital transformation projects (portfolio listed; MALR digital transformation unit created)</t>
  </si>
  <si>
    <t xml:space="preserve">Does the indicator require a formally constituted standing body or committee, or does any documented recurring — including project-based — coordination mechanism satisfy it?</t>
  </si>
  <si>
    <t xml:space="preserve">5.2</t>
  </si>
  <si>
    <t xml:space="preserve">Adult literacy rate (%)</t>
  </si>
  <si>
    <t xml:space="preserve">C4</t>
  </si>
  <si>
    <t xml:space="preserve">World Bank WDI SE.ADT.LITR.ZS</t>
  </si>
  <si>
    <t xml:space="preserve">https://api.worldbank.org/v2/country/EGY/indicator/SE.ADT.LITR.ZS?format=json&amp;mrnev=1&amp;per_page=5</t>
  </si>
  <si>
    <t xml:space="preserve">5.3</t>
  </si>
  <si>
    <t xml:space="preserve">Tertiary STEM enrollment (% gross)</t>
  </si>
  <si>
    <t xml:space="preserve">World Bank WDI SE.TER.ENRR</t>
  </si>
  <si>
    <t xml:space="preserve">https://api.worldbank.org/v2/country/EGY/indicator/SE.TER.ENRR?format=json&amp;mrnev=1&amp;per_page=5</t>
  </si>
  <si>
    <t xml:space="preserve">⚠ The name asserts the STEM subset of tertiary enrollment, but both countries record World Bank WDI SE.TER.ENRR, which is total tertiary gross enrollment across all fields, and the level is then scored against thresholds calibrated for a STEM share.</t>
  </si>
  <si>
    <t xml:space="preserve">5.4</t>
  </si>
  <si>
    <t xml:space="preserve">Digital literacy among farmers (%)</t>
  </si>
  <si>
    <t xml:space="preserve">No national farmer-specific digital-literacy rate is published for Egypt. Best available evidence (regional, single-source): IFPRI RCT baseline phone survey, Minya &amp; Beni Suef governorates, Jul-Sep 2023, n=3,332 farmers:</t>
  </si>
  <si>
    <t xml:space="preserve">Abdelaziz, F. &amp; Abay, K.A. (2025). Digital literacy training to promote diffusion of digital agricultural tools to smallholder farmers: Evidence from a randomized intervention in Egypt. IFPRI Discussion Paper 2359 (baseline survey Jul-Sep 2023)</t>
  </si>
  <si>
    <t xml:space="preserve">https://cgspace.cgiar.org/items/18a9ca8e-af59-4f88-a5e1-4b7a2a9155cd</t>
  </si>
  <si>
    <t xml:space="preserve">The name asserts a national digital-literacy rate among farmers, but Nigeria records rural-population digital skills and Egypt records a two-governorate RCT baseline whose headline figure is digital ILliteracy, the inverse of the indicator's H direction.</t>
  </si>
  <si>
    <t xml:space="preserve">5.5</t>
  </si>
  <si>
    <t xml:space="preserve">Digital extension capability</t>
  </si>
  <si>
    <t xml:space="preserve">ADV</t>
  </si>
  <si>
    <t xml:space="preserve">UC:ADV</t>
  </si>
  <si>
    <t xml:space="preserve">Government digital-extension channels are operating: El-Mufeed (FAO/MALR digital advisory app, launched 2020, content produced with ARC, presented to extension agents from all governorates) and Hudhud AI farmer assistant</t>
  </si>
  <si>
    <t xml:space="preserve">IFPRI Policy Note Dec 2025 (Digital Services Portfolio/El-Mufeed operating); UN Egypt/FAO-MALR programme page</t>
  </si>
  <si>
    <t xml:space="preserve">https://cgspace.cgiar.org/server/api/core/bitstreams/d4a33acc-564a-4e4c-a413-81ba3ebd4d90/content</t>
  </si>
  <si>
    <t xml:space="preserve">5.7</t>
  </si>
  <si>
    <t xml:space="preserve">MoAg digital/AI unit</t>
  </si>
  <si>
    <t xml:space="preserve">A joint MALR-MCIT digital transformation program has been operating since 6 Dec 2021 (Hudhud AI assistant; agricultural e-portal with 20 services in trial operation; AI/satellite crop mapping; quarantine mechanisation; d</t>
  </si>
  <si>
    <t xml:space="preserve">MCIT-MALR joint press release, 'Digital Transformation Services in Agriculture Announced' (6 December 2021)</t>
  </si>
  <si>
    <t xml:space="preserve">https://mcit.gov.eg/en/Media_Center/Press_Room/Press_Releases/64824</t>
  </si>
  <si>
    <t xml:space="preserve">⚠ The name asserts a standing digital/AI unit inside the ministry of agriculture, but Egypt is scored level 3 on a joint MALR-MCIT programme while the row's own note records that the named unit could not be confirmed and that the prior evidence for it was ruled inadmissible — and because this row…</t>
  </si>
  <si>
    <t xml:space="preserve">5.8</t>
  </si>
  <si>
    <t xml:space="preserve">Agtech/data-science training pipeline</t>
  </si>
  <si>
    <t xml:space="preserve">No dedicated agtech/digital-agriculture university degree or certificate program was identified for Egypt. Citable pipeline elements: (1) Digital Egypt Builders Initiative (DEBI, MCIT, launched Sept 2020 in the President</t>
  </si>
  <si>
    <t xml:space="preserve">MCIT, Digital Egypt Builders Initiative (DEBI) program page</t>
  </si>
  <si>
    <t xml:space="preserve">https://mcit.gov.eg/en/Human_Capacity/MCIT/Digital_Egypt_Builders_Initiative</t>
  </si>
  <si>
    <t xml:space="preserve">The name's "agtech" half is unevidenced in both countries — each level 3 is carried entirely by a generic national ICT/data-talent programme with the agriculture bridging explicitly absent — and the slash never says whether the two halves are conjunctive or disjunctive.</t>
  </si>
  <si>
    <t xml:space="preserve">5.12</t>
  </si>
  <si>
    <t xml:space="preserve">Gender balance in digital-ag workforce (%)</t>
  </si>
  <si>
    <t xml:space="preserve">EQ,ADV</t>
  </si>
  <si>
    <t xml:space="preserve">DATA GAP — searched WDI/ILO female-agricultural-employment series and MCIT/CAPMAS ICT gender indicators (T1: population-level only, no digital-ag workforce breakdown); FAO Country Gender Assessment of the Agriculture and Rural Sector - Egypt (2022) and FAO Status of Women in Agrifood Systems (2023) (T2: no extension or digital-ag workforce gender share); moa.gov.eg / MALR publications (T3: nothing); GFRAS Worldwide Extension Study Egypt profile and JICA Egypt Country Gender Profile 2018 (T4: extension-staff proxies only, underlying data 2011). Searched 2026-08.</t>
  </si>
  <si>
    <t xml:space="preserve">Who counts as the 'digital-ag workforce' — extension staff, agtech-company employees, or ICT-in-agriculture roles generally — given the H 20/35/45/50 thresholds presuppose a share no source publishes?</t>
  </si>
  <si>
    <t xml:space="preserve">6.1</t>
  </si>
  <si>
    <t xml:space="preserve">Global Innovation Index</t>
  </si>
  <si>
    <t xml:space="preserve">E1</t>
  </si>
  <si>
    <t xml:space="preserve">WIPO Global Innovation Index 2025 (full report), GII 2025 rankings table p.18: "86 Egypt 24.7"</t>
  </si>
  <si>
    <t xml:space="preserve">https://www.wipo.int/web-publications/global-innovation-index-2025/assets/89507/global-innovation-index-2025-en.pdf</t>
  </si>
  <si>
    <t xml:space="preserve">6.3</t>
  </si>
  <si>
    <t xml:space="preserve">Business Ready (B-READY)</t>
  </si>
  <si>
    <t xml:space="preserve">DATA GAP — Egypt is not covered in B-READY 2024 (51 economies) nor in B-READY 2025 (interim edition, 101 economies). Egypt is listed as economy #16 of 71 in the Third B-READY Report cohort (2026 full edition), which is not yet published as of 2026-08-22. Searched: World Bank B-READY publications page; official 'List of Economies Proposed for Inclusion in the First Three Editions of the B-READY Report' (thedocs.worldbank.org); B-READY 2025 report record (documents.worldbank.org); B-READY Methodology Handbook Third Edition (Jan 2026) confirming the 2026 rollout is in progress.</t>
  </si>
  <si>
    <t xml:space="preserve">6.4</t>
  </si>
  <si>
    <t xml:space="preserve">Agtech venture ecosystem</t>
  </si>
  <si>
    <t xml:space="preserve">Transformation</t>
  </si>
  <si>
    <t xml:space="preserve">Operating agtech venture ecosystem: Egypt is one of Africa's 'big three' agrifoodtech markets (with Kenya and Nigeria); 22 agrifoodtech deals totalling USD 26M in 2024 (+2,775% YoY after a depressed 2023), vs USD 112M ac</t>
  </si>
  <si>
    <t xml:space="preserve">AgFunder, Developing Markets AgriFoodTech Investment Report 2025 (Africa: investment by country p.49; top-funded companies pp.53-54; investor list p.80)</t>
  </si>
  <si>
    <t xml:space="preserve">https://omnivore.vc/uploads/developing_markets_agrifoodtech_investment_report_2025_4_61f213a206.pdf</t>
  </si>
  <si>
    <t xml:space="preserve">The scale evidence is AgFunder "agrifoodtech" deal flow, a category that includes downstream food-tech and non-farmer-facing ventures, standing in for an agtech venture ecosystem — a measurably broader denominator that inflates deal and funding counts.</t>
  </si>
  <si>
    <t xml:space="preserve">6.9</t>
  </si>
  <si>
    <t xml:space="preserve">Public-private partnerships in digital ag</t>
  </si>
  <si>
    <t xml:space="preserve">ADV,AGI,SCM</t>
  </si>
  <si>
    <t xml:space="preserve">Multiple operating digital-agriculture partnerships with named partners: 'Agri Misr' e-platform (launched 13 Jul 2021: MALR + Ministry of Planning + Agricultural Bank of Egypt + eFinance Investment Group/eAswaaq); FAO x</t>
  </si>
  <si>
    <t xml:space="preserve">IFPRI Policy Note (Dec 2025): Digital Agricultural Technology in Egypt — Insights from App Developers (Abdallah, Abdelhadi &amp; Karachiwalla)</t>
  </si>
  <si>
    <t xml:space="preserve">The name asserts operating public-private partnerships, but Nigeria's level 3 rests substantially on MOUs signed days before capture (intent, not operation) and Egypt's flagship partnership pairs ministries with state-owned financial entities, leaving the "private" half of the construct thin.</t>
  </si>
  <si>
    <t xml:space="preserve">6.12</t>
  </si>
  <si>
    <t xml:space="preserve">Digital public goods adopted</t>
  </si>
  <si>
    <t xml:space="preserve">One registered digital public good is operating in Egyptian agriculture: El-Mufeed, the Egypt deployment of the FAO Digital Services Portfolio (a DPG listed on the Digital Public Goods Alliance registry), run with MALR s</t>
  </si>
  <si>
    <t xml:space="preserve">FAO e-Agriculture: Proud Contributor Since 2022 — FAO in the 2025 State of the Digital Public Goods Ecosystem Report (DPGA registry includes the FAO Digital Services Portfolio)</t>
  </si>
  <si>
    <t xml:space="preserve">https://www.fao.org/e-agriculture/news/proud-contributor-2022-fao-leading-innovation-2025-state-digital-public-goods-ecosystem-report</t>
  </si>
  <si>
    <t xml:space="preserve">Does 'DPG adopted' mean the country deploying a globally registered DPG, or the country itself adopting a DPG policy or registering a national product?</t>
  </si>
  <si>
    <t xml:space="preserve">6.13</t>
  </si>
  <si>
    <t xml:space="preserve">SME/agribusiness adoption of digital tools (%)</t>
  </si>
  <si>
    <t xml:space="preserve">SMF,SCM,MKT</t>
  </si>
  <si>
    <t xml:space="preserve">DATA GAP — no SME/agribusiness-specific digital-tool adoption percentage exists for Egypt. Searched in order: (1) CAPMAS/MCIT ICT-usage-in-enterprises survey (2019/20, economy-wide only: &gt;70% of surveyed enterprises use computers/internet — no agribusiness breakout), as summarized in OECD 'SME and Entrepreneurship Policy in Egypt' (SME Digitalisation chapter); (2) World Bank Enterprise Surveys Egypt — no agricultural digital-tool adoption indicator; (3) UNDP Digital Agribusiness Map Egypt (2025) — publishes regional agri-tech adoption estimates (Delta 15%, Northern Coastal 10%, Upper Egypt 5%, Desert 3%) but these are farm-level regional estimates, not SME/agribusiness firm-level adoption; (4) IFPRI Dec 2025 policy note and A2K4D/AUC Mar 2025 report — qualitative only; (5) ITU DataHub — no enterprise agribusiness series.</t>
  </si>
  <si>
    <t xml:space="preserve">The name fixes neither the population (SMEs economy-wide or agribusiness firms specifically — the slash is undefined) nor what counts as a "digital tool", and the register itself records that the available evidence cannot be mapped onto it.</t>
  </si>
  <si>
    <t xml:space="preserve">6.14</t>
  </si>
  <si>
    <t xml:space="preserve">Agri-fintech rails for smallholders</t>
  </si>
  <si>
    <t xml:space="preserve">FIN</t>
  </si>
  <si>
    <t xml:space="preserve">Operating agri-fintech rails with documented smallholder reach: national Farmer Card converted to a Meeza payment card on ABE/e-finance rails — 4.2 million smart farmer cards issued (Minister of Agriculture statement, 7</t>
  </si>
  <si>
    <t xml:space="preserve">IFPRI Policy Note (Dec 2025): Digital Agricultural Technology in Egypt — Insights from App Developers (harvest-linked finance platform, 5,000-6,000 active farmers/month)</t>
  </si>
  <si>
    <t xml:space="preserve">The name asserts rails serving smallholders, but the scale evidence is instruments issued and vendor-reported farmers "reached" rather than active use, and Egypt's Farmer Card is a state-issued instrument for registered landholders generally rather than for smallholders specifically.</t>
  </si>
  <si>
    <t xml:space="preserve">3.9</t>
  </si>
  <si>
    <t xml:space="preserve">Digital advisory platforms at scale</t>
  </si>
  <si>
    <t xml:space="preserve">Multiple digital advisory platforms operating, several above 10k users (platform-reported, compiled by IFPRI): Mahsoly and AlMorshed Poultry 100K+ users each; several other advisory platforms 10K+; farm-management platfo</t>
  </si>
  <si>
    <t xml:space="preserve">IFPRI Policy Note (Dec 2025): Digital Agricultural Technology in Egypt — Insights from App Developers</t>
  </si>
  <si>
    <t xml:space="preserve">"At scale" fixes no threshold anywhere in the model (th=[] for all ladder rows), so a &gt;10k-user bar imported from outside the audited files carries both level 4s, and the counts behind it are self-reported registered users rather than active or reached farmers.</t>
  </si>
  <si>
    <t xml:space="preserve">3.10</t>
  </si>
  <si>
    <t xml:space="preserve">Agricultural e-commerce platforms</t>
  </si>
  <si>
    <t xml:space="preserve">MKT</t>
  </si>
  <si>
    <t xml:space="preserve">Multiple agricultural e-commerce/marketplace platforms operating: Mahsoly (crops and land marketplace with El-Obour wholesale price feed; &gt;100K reported users), Mahaseel, Khodarcom, Khodar Supply, Cropsa (aggregation/mar</t>
  </si>
  <si>
    <t xml:space="preserve">Does the indicator count only farmer-facing platforms, or any agri-food value-chain commerce platform (OneOrder, Cartona, AFEX)?</t>
  </si>
  <si>
    <t xml:space="preserve">7.2</t>
  </si>
  <si>
    <t xml:space="preserve">AI-enabled agricultural solutions deployed</t>
  </si>
  <si>
    <t xml:space="preserve">ADV,FIN,SCM,SMF,AGI</t>
  </si>
  <si>
    <t xml:space="preserve">AI-enabled agricultural solutions deployed but with limited verified reach: Hudhud (MALR x MCIT Arabic AI assistant: chatbot + photo-based pest/disease identification), pilot-launched Dec 2021, live on Google Play (publi</t>
  </si>
  <si>
    <t xml:space="preserve">A2K4D/American University in Cairo (MENA AI Observatory), AI Applications for Food Security in Egypt: Practices, Opportunities, and Challenges (Nagla Rizk, March 2025)</t>
  </si>
  <si>
    <t xml:space="preserve">https://menaobservatory.ai/storage/CHOmuyRvzMEC5LmRtmNQMZHpjlZbEM-metaQTJLNEQgLSBNRU5BIEFJIC0gRm9vZCBTZWN1cml0eSAtIEVneXB0IC0gVjIucGRm-.pdf</t>
  </si>
  <si>
    <t xml:space="preserve">The name asserts deployment, but Egypt's level 3 rests on a solution restricted to a pilot cohort with no verified reach and Nigeria's row is anchored on a future-tense announcement of an intent to deploy.</t>
  </si>
  <si>
    <t xml:space="preserve">7.12</t>
  </si>
  <si>
    <t xml:space="preserve">Responsible-AI safeguards (consent, rights)</t>
  </si>
  <si>
    <t xml:space="preserve">AI</t>
  </si>
  <si>
    <t xml:space="preserve">UC:AI</t>
  </si>
  <si>
    <t xml:space="preserve">No agriculture/AI-specific consent or farmer-data-rights safeguards exist beyond the general regime. General regime now operational: PDPL 151/2020 became enforceable in practice with Executive Regulations issued by Minis</t>
  </si>
  <si>
    <t xml:space="preserve">Egyptian Charter for Responsible AI v1.0 (NCAI, 2023) — official PDF, ai.gov.eg (full-text searched: no agriculture/farmer provisions)</t>
  </si>
  <si>
    <t xml:space="preserve">https://ai.gov.eg/SynchedFiles/en/Resources/Egyptian%20Charter%20For%20Responsible%20AI.pdf</t>
  </si>
  <si>
    <t xml:space="preserve">The name does not fix whether the safeguards must be agriculture- or farmer-specific or whether a cross-sector regime suffices, and the two countries resolve it in opposite directions on the same recorded fact pattern — each row states that nothing agriculture-specific exists, yet one is scored…</t>
  </si>
  <si>
    <t xml:space="preserve">8.2</t>
  </si>
  <si>
    <t xml:space="preserve">Account ownership, female (%)</t>
  </si>
  <si>
    <t xml:space="preserve">O1</t>
  </si>
  <si>
    <t xml:space="preserve">Outcomes</t>
  </si>
  <si>
    <t xml:space="preserve">FIN,EQ</t>
  </si>
  <si>
    <t xml:space="preserve">World Bank WDI FX.OWN.TOTL.FE.ZS (Global Findex wave)</t>
  </si>
  <si>
    <t xml:space="preserve">https://api.worldbank.org/v2/country/EGY/indicator/FX.OWN.TOTL.FE.ZS?format=json&amp;mrnev=1&amp;per_page=5</t>
  </si>
  <si>
    <t xml:space="preserve">"Account" is not defined in the name, and the chosen WDI series counts mobile-money accounts inside the total — the same construct scored separately at 8.4 — so mobile money is effectively double-weighted in the FIN use-case column and in the O1 mean.</t>
  </si>
  <si>
    <t xml:space="preserve">8.4</t>
  </si>
  <si>
    <t xml:space="preserve">Mobile money account (%)</t>
  </si>
  <si>
    <t xml:space="preserve">World Bank, The Little Data Book on Financial Inclusion 2025 (Global Findex Database 2025), Egypt, Arab Rep. country page (p. 56): Mobile money account (% age 15+) = 15.6</t>
  </si>
  <si>
    <t xml:space="preserve">https://thedocs.worldbank.org/en/doc/be6615202d1f08a25855c8ac2d615122-0050012025/related/Little-Data-Book-2025-Web.pdf</t>
  </si>
  <si>
    <t xml:space="preserve">8.6</t>
  </si>
  <si>
    <t xml:space="preserve">Gender gap in phone ownership (pp)</t>
  </si>
  <si>
    <t xml:space="preserve">EQ</t>
  </si>
  <si>
    <t xml:space="preserve">World Bank Global Findex Database 2025, Egypt: Own a mobile phone, men (con1.2) = 91.7% vs women (con1.1) = 77.3%, age 15+, 2024 — gap 14.4 percentage points (derived by subtraction of the two published series)</t>
  </si>
  <si>
    <t xml:space="preserve">https://api.worldbank.org/v2/country/EGY/indicator/con1.2?source=28&amp;format=json</t>
  </si>
  <si>
    <t xml:space="preserve">The name fixes the unit as percentage points but not the sign convention or the basis, so a reversed gap (women ahead) scores as best-in-class under direction L, and the widely quoted GSMA figure for the same construct is a relative gap on a male-ownership base, a different number entirely.</t>
  </si>
  <si>
    <t xml:space="preserve">8.9</t>
  </si>
  <si>
    <t xml:space="preserve">Smallholders reached by digital services (%)</t>
  </si>
  <si>
    <t xml:space="preserve">ALL,EQ</t>
  </si>
  <si>
    <t xml:space="preserve">No national share with provenance. Regional (labelled, single-source): IFPRI RCT baseline, Minya &amp; Beni Suef - digital ag service use among surveyed smallholders far below 10%</t>
  </si>
  <si>
    <t xml:space="preserve">IFPRI DP 2359 / RCT baseline (CGSpace)</t>
  </si>
  <si>
    <t xml:space="preserve">https://cgspace.cgiar.org/server/api/core/bitstreams/a95d7429-19f8-4a76-8152-06c</t>
  </si>
  <si>
    <t xml:space="preserve">The name asserts a national share of smallholders reached, but Egypt's scored level 1 is derived from a two-governorate RCT baseline explicitly labelled as having no national provenance, and "reached" is nowhere defined against registered, active, or benefiting users.</t>
  </si>
  <si>
    <t xml:space="preserve">8.11</t>
  </si>
  <si>
    <t xml:space="preserve">Services in local languages (%)</t>
  </si>
  <si>
    <t xml:space="preserve">ADV,EQ</t>
  </si>
  <si>
    <t xml:space="preserve">No quantified share published; qualitative evidence indicates local-language delivery of flagship services is effectively universal. All major identified digital-agriculture services in Egypt are delivered in Arabic: Hud</t>
  </si>
  <si>
    <t xml:space="preserve">UN Egypt / FAO-MALR: 'FAO &amp; MALR invite extension agents to use El Mufeed app and disseminate among targeted groups' (official programme page; El Mufeed is Arabic-language); corroborated by IFPRI Egypt CSA policy note (Dec 2025) naming Bashaer and Nabta</t>
  </si>
  <si>
    <t xml:space="preserve">https://egypt.un.org/en/106025-fao-malr-invite-extension-agents-use-%E2%80%9Cel-mufeed%E2%80%9D-app-and-disseminate-among-targeted-groups</t>
  </si>
  <si>
    <t xml:space="preserve">Should 8.11 remain a %-share indicator when no country publishes a denominator for local-language service delivery — and the Nigeria bundle's guidance text is contaminated with Egypt-specific content that must be removed regardless of the ruling?</t>
  </si>
  <si>
    <t xml:space="preserve">8.12</t>
  </si>
  <si>
    <t xml:space="preserve">Documented impact evidence (yield/income)</t>
  </si>
  <si>
    <t xml:space="preserve">Rung facts. PRESENCE: one completed, published, independent impact evaluation of a digital-agriculture intervention in Egypt — Abdelaziz, F. &amp; Abay, K.A., 'Digital literacy training to promote diffusion of digital agricu</t>
  </si>
  <si>
    <t xml:space="preserve">Abdelaziz &amp; Abay (2025/2026), IFPRI DP 2359 / Food Policy — RCT of digital literacy training for smallholder digital-tool adoption, Egypt</t>
  </si>
  <si>
    <t xml:space="preserve">The name's parenthetical fixes the outcome as yield or income, but Egypt's level 3 rests on an evaluation whose measured outcome is diffusion and adoption of digital tools, not yield or income.</t>
  </si>
  <si>
    <t xml:space="preserve">8.17</t>
  </si>
  <si>
    <t xml:space="preserve">Climate advisory reach (%)</t>
  </si>
  <si>
    <t xml:space="preserve">DATA GAP — searched (2026-08-22, in order): web search for EMA / CCIC / DAIRS advisory-reach statistics (none published); IFPRI Egypt CSA policy note Dec 2025 (CCIC issues daily climate warnings; CCIC-EMA 'Bashaer' platform delivers tailored climate-smart recommendations to farmers — no reach figures; FAO RNE panelist states 'communication gaps mean that many smallholders never receive' warnings); targeted search for Bashaer user/reach numbers (none); ICARDA digital-ag review abstract (DAIRS 'under development', no reach); FAO/WFP Egypt climate publications (project-level reach only, no national %). No percentage of Egyptian farmers receiving actionable climate advisories exists with provenance.</t>
  </si>
  <si>
    <t xml:space="preserve">Does the indicator measure farmer receipt of advisories, or supply-side issuance (warnings issued, platforms live), which is all either country publishes?</t>
  </si>
  <si>
    <t xml:space="preserve">Pillar profile  ·  n = indicators in the pillar; Rated = those that produced a level, which is what the mean averages; Held = level withheld pending ratification. A band in parentheses = judged rows, recorded gaps and held rows outnumber the levelled measured and documented ones</t>
  </si>
  <si>
    <t xml:space="preserve">n</t>
  </si>
  <si>
    <t xml:space="preserve">Rated</t>
  </si>
  <si>
    <t xml:space="preserve">Mean</t>
  </si>
  <si>
    <t xml:space="preserve">Band</t>
  </si>
  <si>
    <t xml:space="preserve">Measured</t>
  </si>
  <si>
    <t xml:space="preserve">Documented</t>
  </si>
  <si>
    <t xml:space="preserve">Judged</t>
  </si>
  <si>
    <t xml:space="preserve">Gap</t>
  </si>
  <si>
    <t xml:space="preserve">Held</t>
  </si>
  <si>
    <t xml:space="preserve">Layer profile and structural gap</t>
  </si>
  <si>
    <t xml:space="preserve">Gap (Foundation − Transformation)</t>
  </si>
  <si>
    <t xml:space="preserve">Prerequisites  (presence only; Unverified = the presence could not be evidenced)</t>
  </si>
  <si>
    <t xml:space="preserve">Prerequisite</t>
  </si>
  <si>
    <t xml:space="preserve">Scope</t>
  </si>
  <si>
    <t xml:space="preserve">Status</t>
  </si>
  <si>
    <t xml:space="preserve">Universal</t>
  </si>
  <si>
    <t xml:space="preserve">Use case: FIN, AGI</t>
  </si>
  <si>
    <t xml:space="preserve">Use case: AGI</t>
  </si>
  <si>
    <t xml:space="preserve">Use case: FIN</t>
  </si>
  <si>
    <t xml:space="preserve">Delivery flag</t>
  </si>
  <si>
    <t xml:space="preserve">Use case: ADV</t>
  </si>
  <si>
    <t xml:space="preserve">Use case: AI-enabled (binds AGI)</t>
  </si>
  <si>
    <t xml:space="preserve">Use-case readiness  (feeds Playbook Step 2B — Digital Readiness)</t>
  </si>
  <si>
    <t xml:space="preserve">Use case area</t>
  </si>
  <si>
    <t xml:space="preserve">Mean of bearing indicators</t>
  </si>
  <si>
    <t xml:space="preserve">Blocking / limiting factor</t>
  </si>
  <si>
    <t xml:space="preserve">Advisory &amp; extension</t>
  </si>
  <si>
    <t xml:space="preserve">Smart farming</t>
  </si>
  <si>
    <t xml:space="preserve">Market linkage</t>
  </si>
  <si>
    <t xml:space="preserve">Supply chain</t>
  </si>
  <si>
    <t xml:space="preserve">Financial services</t>
  </si>
  <si>
    <t xml:space="preserve">Ag intelligence</t>
  </si>
  <si>
    <t xml:space="preserve">Proposed additions — recorded for context, outside every aggregate (ratification item)</t>
  </si>
  <si>
    <t xml:space="preserve">A1-CAND-IMP</t>
  </si>
  <si>
    <t xml:space="preserve">Cereal import dependency ratio (%)</t>
  </si>
  <si>
    <t xml:space="preserve">A1?</t>
  </si>
  <si>
    <t xml:space="preserve">FAOSTAT, Suite of Food Security Indicators (FS domain), item 21035 'Cereal import dependency ratio (percent) (3-year average)', Egypt, period 2021-2023</t>
  </si>
  <si>
    <t xml:space="preserve">https://bulks-faostat.fao.org/production/Food_Security_Data_E_Africa.zip</t>
  </si>
  <si>
    <t xml:space="preserve">not scored</t>
  </si>
  <si>
    <t xml:space="preserve">A1-CAND-IRR</t>
  </si>
  <si>
    <t xml:space="preserve">Irrigation coverage (% of cultivated/agricultural land equipped)</t>
  </si>
  <si>
    <t xml:space="preserve">FAO AQUASTAT Dissemination System — Egypt, variable 4331 '% of the cultivated area equipped for irrigation', 2023 (flag E = estimate); companion variable 4313 'Area equipped for irrigation: total' = 3,823,000 ha (2023, flag I = imputed)</t>
  </si>
  <si>
    <t xml:space="preserve">https://api.data.apps.fao.org/api/v2/bigquery?sql_url=https://data.apps.fao.org/catalog/dataset/945666e6-7803-4621-b8ef-cfd885a84596/resource/4a000a1b-24f0-4328-aab6-b9b525892090/download/query_en.sql&amp;area=Egypt&amp;variable=4331,4313&amp;year=2023&amp;type=country</t>
  </si>
  <si>
    <t xml:space="preserve">Which denominator defines 'land equipped' — cultivated land, arable land, or total agricultural land — since Egypt reads 94.2-94.9% on the first and 100% on the second?</t>
  </si>
  <si>
    <t xml:space="preserve">Issues log — quality control findings</t>
  </si>
  <si>
    <t xml:space="preserve">Every automated failure, peer-review disagreement and sign-off exception is recorded here. Fixes change entries on the scoring sheet; derived fields are never edited.</t>
  </si>
  <si>
    <t xml:space="preserve">#</t>
  </si>
  <si>
    <t xml:space="preserve">Finding</t>
  </si>
  <si>
    <t xml:space="preserve">Row / ID</t>
  </si>
  <si>
    <t xml:space="preserve">Action</t>
  </si>
  <si>
    <t xml:space="preserve">Resolver</t>
  </si>
  <si>
    <t xml:space="preserve">Visuals — charts read live from the scoring sheet</t>
  </si>
  <si>
    <t xml:space="preserve">Read a level chart together with the evidence-mix chart: a strong bar standing on a mostly grey evidence bar is a hypothesis, not a finding.</t>
  </si>
  <si>
    <t xml:space="preserve">A1 Agriculture &amp; need</t>
  </si>
  <si>
    <t xml:space="preserve">C1 Connectivity &amp; access</t>
  </si>
  <si>
    <t xml:space="preserve">C2 Data &amp; DPI</t>
  </si>
  <si>
    <t xml:space="preserve">C3 Policy &amp; safeguards</t>
  </si>
  <si>
    <t xml:space="preserve">C4 People &amp; institutions</t>
  </si>
  <si>
    <t xml:space="preserve">E1 Innovation &amp; emerging tech</t>
  </si>
  <si>
    <t xml:space="preserve">O1 Outcomes &amp; inclusion</t>
  </si>
  <si>
    <t xml:space="preserve">Indicators</t>
  </si>
  <si>
    <t xml:space="preserve">Level 1</t>
  </si>
  <si>
    <t xml:space="preserve">Level 2</t>
  </si>
  <si>
    <t xml:space="preserve">Level 3</t>
  </si>
  <si>
    <t xml:space="preserve">Level 4</t>
  </si>
  <si>
    <t xml:space="preserve">Level 5</t>
  </si>
  <si>
    <t xml:space="preserve">Readings</t>
  </si>
  <si>
    <t xml:space="preserve">2010</t>
  </si>
  <si>
    <t xml:space="preserve">2017</t>
  </si>
  <si>
    <t xml:space="preserve">2018</t>
  </si>
  <si>
    <t xml:space="preserve">2019</t>
  </si>
  <si>
    <t xml:space="preserve">2021</t>
  </si>
  <si>
    <t xml:space="preserve">2022</t>
  </si>
  <si>
    <t xml:space="preserve">2023</t>
  </si>
  <si>
    <t xml:space="preserve">2024</t>
  </si>
  <si>
    <t xml:space="preserve">2025</t>
  </si>
  <si>
    <t xml:space="preserve">2026</t>
  </si>
  <si>
    <t xml:space="preserve">Note: readings more than three years old are flagged STALE on the scoring sheet.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</si>
</sst>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5F5B"/>
      <name val="Arial"/>
      <family val="0"/>
      <charset val="1"/>
    </font>
    <font>
      <sz val="9"/>
      <color rgb="FF898781"/>
      <name val="Arial"/>
      <family val="0"/>
      <charset val="1"/>
    </font>
    <font>
      <sz val="10"/>
      <name val="Arial"/>
      <family val="0"/>
      <charset val="1"/>
    </font>
    <font>
      <b val="true"/>
      <sz val="11"/>
      <color rgb="FF1F5F5B"/>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1F5F5B"/>
        <bgColor rgb="FF008080"/>
      </patternFill>
    </fill>
    <fill>
      <patternFill patternType="solid">
        <fgColor rgb="FFFFF9C4"/>
        <bgColor rgb="FFFFFF99"/>
      </patternFill>
    </fill>
    <fill>
      <patternFill patternType="solid">
        <fgColor rgb="FFEAF1F0"/>
        <bgColor rgb="FFFFFFFF"/>
      </patternFill>
    </fill>
  </fills>
  <borders count="2">
    <border diagonalUp="false" diagonalDown="false">
      <left/>
      <right/>
      <top/>
      <bottom/>
      <diagonal/>
    </border>
    <border diagonalUp="false" diagonalDown="false">
      <left style="thin">
        <color rgb="FFD8DDDA"/>
      </left>
      <right style="thin">
        <color rgb="FFD8DDDA"/>
      </right>
      <top style="thin">
        <color rgb="FFD8DDDA"/>
      </top>
      <bottom style="thin">
        <color rgb="FFD8DD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3"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7" fillId="4" borderId="0"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5F5B"/>
      <rgbColor rgb="FFD8DDDA"/>
      <rgbColor rgb="FF878787"/>
      <rgbColor rgb="FF9999FF"/>
      <rgbColor rgb="FFC0504D"/>
      <rgbColor rgb="FFFFF9C4"/>
      <rgbColor rgb="FFEAF1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BBB59"/>
      <rgbColor rgb="FFFFCC00"/>
      <rgbColor rgb="FFFF9900"/>
      <rgbColor rgb="FFFF6600"/>
      <rgbColor rgb="FF8064A2"/>
      <rgbColor rgb="FF898781"/>
      <rgbColor rgb="FF003366"/>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Pillar profile (1–5)</a:t>
            </a:r>
          </a:p>
        </c:rich>
      </c:tx>
      <c:overlay val="0"/>
      <c:spPr>
        <a:noFill/>
        <a:ln w="0">
          <a:noFill/>
        </a:ln>
      </c:spPr>
    </c:title>
    <c:autoTitleDeleted val="0"/>
    <c:plotArea>
      <c:radarChart>
        <c:radarStyle val="marker"/>
        <c:varyColors val="0"/>
        <c:ser>
          <c:idx val="0"/>
          <c:order val="0"/>
          <c:tx>
            <c:strRef>
              <c:f>Visuals!B3</c:f>
              <c:strCache>
                <c:ptCount val="1"/>
                <c:pt idx="0">
                  <c:v>Mean</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Visuals!$B$4:$B$10</c:f>
              <c:numCache>
                <c:formatCode>General</c:formatCode>
                <c:ptCount val="7"/>
                <c:pt idx="0">
                  <c:v>3</c:v>
                </c:pt>
                <c:pt idx="1">
                  <c:v>3.8</c:v>
                </c:pt>
                <c:pt idx="2">
                  <c:v>2.88</c:v>
                </c:pt>
                <c:pt idx="3">
                  <c:v>3.25</c:v>
                </c:pt>
                <c:pt idx="4">
                  <c:v>3.33</c:v>
                </c:pt>
                <c:pt idx="5">
                  <c:v>3.11</c:v>
                </c:pt>
                <c:pt idx="6">
                  <c:v>2.67</c:v>
                </c:pt>
              </c:numCache>
            </c:numRef>
          </c:val>
        </c:ser>
        <c:axId val="27892460"/>
        <c:axId val="40148024"/>
      </c:radarChart>
      <c:catAx>
        <c:axId val="27892460"/>
        <c:scaling>
          <c:orientation val="maxMin"/>
        </c:scaling>
        <c:delete val="0"/>
        <c:axPos val="b"/>
        <c:numFmt formatCode="General" sourceLinked="1"/>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0148024"/>
        <c:crosses val="autoZero"/>
        <c:auto val="1"/>
        <c:lblAlgn val="ctr"/>
        <c:lblOffset val="100"/>
        <c:noMultiLvlLbl val="0"/>
      </c:catAx>
      <c:valAx>
        <c:axId val="40148024"/>
        <c:scaling>
          <c:orientation val="minMax"/>
          <c:max val="5"/>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892460"/>
        <c:crosses val="autoZero"/>
        <c:crossBetween val="midCat"/>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Pillar mean level</a:t>
            </a:r>
          </a:p>
        </c:rich>
      </c:tx>
      <c:overlay val="0"/>
      <c:spPr>
        <a:noFill/>
        <a:ln w="0">
          <a:noFill/>
        </a:ln>
      </c:spPr>
    </c:title>
    <c:autoTitleDeleted val="0"/>
    <c:plotArea>
      <c:barChart>
        <c:barDir val="bar"/>
        <c:grouping val="clustered"/>
        <c:varyColors val="0"/>
        <c:ser>
          <c:idx val="0"/>
          <c:order val="0"/>
          <c:tx>
            <c:strRef>
              <c:f>Visuals!B3</c:f>
              <c:strCache>
                <c:ptCount val="1"/>
                <c:pt idx="0">
                  <c:v>Mean</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Visuals!$B$4:$B$10</c:f>
              <c:numCache>
                <c:formatCode>General</c:formatCode>
                <c:ptCount val="7"/>
                <c:pt idx="0">
                  <c:v>3</c:v>
                </c:pt>
                <c:pt idx="1">
                  <c:v>3.8</c:v>
                </c:pt>
                <c:pt idx="2">
                  <c:v>2.88</c:v>
                </c:pt>
                <c:pt idx="3">
                  <c:v>3.25</c:v>
                </c:pt>
                <c:pt idx="4">
                  <c:v>3.33</c:v>
                </c:pt>
                <c:pt idx="5">
                  <c:v>3.11</c:v>
                </c:pt>
                <c:pt idx="6">
                  <c:v>2.67</c:v>
                </c:pt>
              </c:numCache>
            </c:numRef>
          </c:val>
        </c:ser>
        <c:gapWidth val="150"/>
        <c:overlap val="0"/>
        <c:axId val="61438070"/>
        <c:axId val="54356334"/>
      </c:barChart>
      <c:catAx>
        <c:axId val="6143807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356334"/>
        <c:crosses val="autoZero"/>
        <c:auto val="1"/>
        <c:lblAlgn val="ctr"/>
        <c:lblOffset val="100"/>
        <c:noMultiLvlLbl val="0"/>
      </c:catAx>
      <c:valAx>
        <c:axId val="5435633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143807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Evidence mix per pillar</a:t>
            </a:r>
          </a:p>
        </c:rich>
      </c:tx>
      <c:overlay val="0"/>
      <c:spPr>
        <a:noFill/>
        <a:ln w="0">
          <a:noFill/>
        </a:ln>
      </c:spPr>
    </c:title>
    <c:autoTitleDeleted val="0"/>
    <c:plotArea>
      <c:barChart>
        <c:barDir val="bar"/>
        <c:grouping val="stacked"/>
        <c:varyColors val="0"/>
        <c:ser>
          <c:idx val="0"/>
          <c:order val="0"/>
          <c:tx>
            <c:strRef>
              <c:f>Visuals!C3</c:f>
              <c:strCache>
                <c:ptCount val="1"/>
                <c:pt idx="0">
                  <c:v>Measured</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Visuals!$C$4:$C$10</c:f>
              <c:numCache>
                <c:formatCode>General</c:formatCode>
                <c:ptCount val="7"/>
                <c:pt idx="0">
                  <c:v>6</c:v>
                </c:pt>
                <c:pt idx="1">
                  <c:v>4</c:v>
                </c:pt>
                <c:pt idx="2">
                  <c:v>1</c:v>
                </c:pt>
                <c:pt idx="3">
                  <c:v>3</c:v>
                </c:pt>
                <c:pt idx="4">
                  <c:v>2</c:v>
                </c:pt>
                <c:pt idx="5">
                  <c:v>1</c:v>
                </c:pt>
                <c:pt idx="6">
                  <c:v>3</c:v>
                </c:pt>
              </c:numCache>
            </c:numRef>
          </c:val>
        </c:ser>
        <c:ser>
          <c:idx val="1"/>
          <c:order val="1"/>
          <c:tx>
            <c:strRef>
              <c:f>Visuals!D3</c:f>
              <c:strCache>
                <c:ptCount val="1"/>
                <c:pt idx="0">
                  <c:v>Documented</c:v>
                </c:pt>
              </c:strCache>
            </c:strRef>
          </c:tx>
          <c:spPr>
            <a:solidFill>
              <a:srgbClr val="C0504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Visuals!$D$4:$D$10</c:f>
              <c:numCache>
                <c:formatCode>General</c:formatCode>
                <c:ptCount val="7"/>
                <c:pt idx="0">
                  <c:v>4</c:v>
                </c:pt>
                <c:pt idx="1">
                  <c:v>1</c:v>
                </c:pt>
                <c:pt idx="2">
                  <c:v>7</c:v>
                </c:pt>
                <c:pt idx="3">
                  <c:v>5</c:v>
                </c:pt>
                <c:pt idx="4">
                  <c:v>4</c:v>
                </c:pt>
                <c:pt idx="5">
                  <c:v>8</c:v>
                </c:pt>
                <c:pt idx="6">
                  <c:v>3</c:v>
                </c:pt>
              </c:numCache>
            </c:numRef>
          </c:val>
        </c:ser>
        <c:ser>
          <c:idx val="2"/>
          <c:order val="2"/>
          <c:tx>
            <c:strRef>
              <c:f>Visuals!E3</c:f>
              <c:strCache>
                <c:ptCount val="1"/>
                <c:pt idx="0">
                  <c:v>Judged</c:v>
                </c:pt>
              </c:strCache>
            </c:strRef>
          </c:tx>
          <c:spPr>
            <a:solidFill>
              <a:srgbClr val="9BBB59"/>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Visuals!$E$4:$E$10</c:f>
              <c:numCache>
                <c:formatCode>General</c:formatCode>
                <c:ptCount val="7"/>
                <c:pt idx="0">
                  <c:v>0</c:v>
                </c:pt>
                <c:pt idx="1">
                  <c:v>0</c:v>
                </c:pt>
                <c:pt idx="2">
                  <c:v>0</c:v>
                </c:pt>
                <c:pt idx="3">
                  <c:v>0</c:v>
                </c:pt>
                <c:pt idx="4">
                  <c:v>0</c:v>
                </c:pt>
                <c:pt idx="5">
                  <c:v>0</c:v>
                </c:pt>
                <c:pt idx="6">
                  <c:v>0</c:v>
                </c:pt>
              </c:numCache>
            </c:numRef>
          </c:val>
        </c:ser>
        <c:ser>
          <c:idx val="3"/>
          <c:order val="3"/>
          <c:tx>
            <c:strRef>
              <c:f>Visuals!F3</c:f>
              <c:strCache>
                <c:ptCount val="1"/>
                <c:pt idx="0">
                  <c:v>Gap</c:v>
                </c:pt>
              </c:strCache>
            </c:strRef>
          </c:tx>
          <c:spPr>
            <a:solidFill>
              <a:srgbClr val="8064A2"/>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Visuals!$A$4:$A$10</c:f>
              <c:strCache>
                <c:ptCount val="7"/>
                <c:pt idx="0">
                  <c:v>A1 Agriculture &amp; need</c:v>
                </c:pt>
                <c:pt idx="1">
                  <c:v>C1 Connectivity &amp; access</c:v>
                </c:pt>
                <c:pt idx="2">
                  <c:v>C2 Data &amp; DPI</c:v>
                </c:pt>
                <c:pt idx="3">
                  <c:v>C3 Policy &amp; safeguards</c:v>
                </c:pt>
                <c:pt idx="4">
                  <c:v>C4 People &amp; institutions</c:v>
                </c:pt>
                <c:pt idx="5">
                  <c:v>E1 Innovation &amp; emerging tech</c:v>
                </c:pt>
                <c:pt idx="6">
                  <c:v>O1 Outcomes &amp; inclusion</c:v>
                </c:pt>
              </c:strCache>
            </c:strRef>
          </c:cat>
          <c:val>
            <c:numRef>
              <c:f>Visuals!$F$4:$F$10</c:f>
              <c:numCache>
                <c:formatCode>General</c:formatCode>
                <c:ptCount val="7"/>
                <c:pt idx="0">
                  <c:v>0</c:v>
                </c:pt>
                <c:pt idx="1">
                  <c:v>1</c:v>
                </c:pt>
                <c:pt idx="2">
                  <c:v>0</c:v>
                </c:pt>
                <c:pt idx="3">
                  <c:v>0</c:v>
                </c:pt>
                <c:pt idx="4">
                  <c:v>1</c:v>
                </c:pt>
                <c:pt idx="5">
                  <c:v>2</c:v>
                </c:pt>
                <c:pt idx="6">
                  <c:v>1</c:v>
                </c:pt>
              </c:numCache>
            </c:numRef>
          </c:val>
        </c:ser>
        <c:gapWidth val="150"/>
        <c:overlap val="100"/>
        <c:axId val="65227012"/>
        <c:axId val="21133550"/>
      </c:barChart>
      <c:catAx>
        <c:axId val="652270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1133550"/>
        <c:crosses val="autoZero"/>
        <c:auto val="1"/>
        <c:lblAlgn val="ctr"/>
        <c:lblOffset val="100"/>
        <c:noMultiLvlLbl val="0"/>
      </c:catAx>
      <c:valAx>
        <c:axId val="2113355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522701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Layer profile</a:t>
            </a:r>
          </a:p>
        </c:rich>
      </c:tx>
      <c:overlay val="0"/>
      <c:spPr>
        <a:noFill/>
        <a:ln w="0">
          <a:noFill/>
        </a:ln>
      </c:spPr>
    </c:title>
    <c:autoTitleDeleted val="0"/>
    <c:plotArea>
      <c:barChart>
        <c:barDir val="col"/>
        <c:grouping val="clustered"/>
        <c:varyColors val="0"/>
        <c:ser>
          <c:idx val="0"/>
          <c:order val="0"/>
          <c:tx>
            <c:strRef>
              <c:f>Visuals!B12</c:f>
              <c:strCache>
                <c:ptCount val="1"/>
                <c:pt idx="0">
                  <c:v>Mean</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Visuals!$A$13:$A$16</c:f>
              <c:strCache>
                <c:ptCount val="4"/>
                <c:pt idx="0">
                  <c:v>Foundation</c:v>
                </c:pt>
                <c:pt idx="1">
                  <c:v>Enablers</c:v>
                </c:pt>
                <c:pt idx="2">
                  <c:v>Transformation</c:v>
                </c:pt>
                <c:pt idx="3">
                  <c:v>Outcomes</c:v>
                </c:pt>
              </c:strCache>
            </c:strRef>
          </c:cat>
          <c:val>
            <c:numRef>
              <c:f>Visuals!$B$13:$B$16</c:f>
              <c:numCache>
                <c:formatCode>General</c:formatCode>
                <c:ptCount val="4"/>
                <c:pt idx="0">
                  <c:v>3.31</c:v>
                </c:pt>
                <c:pt idx="1">
                  <c:v>2.9</c:v>
                </c:pt>
                <c:pt idx="2">
                  <c:v>3.71</c:v>
                </c:pt>
                <c:pt idx="3">
                  <c:v>2.67</c:v>
                </c:pt>
              </c:numCache>
            </c:numRef>
          </c:val>
        </c:ser>
        <c:gapWidth val="150"/>
        <c:overlap val="0"/>
        <c:axId val="23620810"/>
        <c:axId val="29089931"/>
      </c:barChart>
      <c:catAx>
        <c:axId val="236208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9089931"/>
        <c:crosses val="autoZero"/>
        <c:auto val="1"/>
        <c:lblAlgn val="ctr"/>
        <c:lblOffset val="100"/>
        <c:noMultiLvlLbl val="0"/>
      </c:catAx>
      <c:valAx>
        <c:axId val="29089931"/>
        <c:scaling>
          <c:orientation val="minMax"/>
          <c:max val="5"/>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3620810"/>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Indicators by level</a:t>
            </a:r>
          </a:p>
        </c:rich>
      </c:tx>
      <c:overlay val="0"/>
      <c:spPr>
        <a:noFill/>
        <a:ln w="0">
          <a:noFill/>
        </a:ln>
      </c:spPr>
    </c:title>
    <c:autoTitleDeleted val="0"/>
    <c:plotArea>
      <c:barChart>
        <c:barDir val="col"/>
        <c:grouping val="clustered"/>
        <c:varyColors val="0"/>
        <c:ser>
          <c:idx val="0"/>
          <c:order val="0"/>
          <c:tx>
            <c:strRef>
              <c:f>Visuals!B18</c:f>
              <c:strCache>
                <c:ptCount val="1"/>
                <c:pt idx="0">
                  <c:v>Indicators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Visuals!$A$19:$A$23</c:f>
              <c:strCache>
                <c:ptCount val="5"/>
                <c:pt idx="0">
                  <c:v>Level 1</c:v>
                </c:pt>
                <c:pt idx="1">
                  <c:v>Level 2</c:v>
                </c:pt>
                <c:pt idx="2">
                  <c:v>Level 3</c:v>
                </c:pt>
                <c:pt idx="3">
                  <c:v>Level 4</c:v>
                </c:pt>
                <c:pt idx="4">
                  <c:v>Level 5</c:v>
                </c:pt>
              </c:strCache>
            </c:strRef>
          </c:cat>
          <c:val>
            <c:numRef>
              <c:f>Visuals!$B$19:$B$23</c:f>
              <c:numCache>
                <c:formatCode>General</c:formatCode>
                <c:ptCount val="5"/>
                <c:pt idx="0">
                  <c:v>10</c:v>
                </c:pt>
                <c:pt idx="1">
                  <c:v>3</c:v>
                </c:pt>
                <c:pt idx="2">
                  <c:v>12</c:v>
                </c:pt>
                <c:pt idx="3">
                  <c:v>16</c:v>
                </c:pt>
                <c:pt idx="4">
                  <c:v>6</c:v>
                </c:pt>
              </c:numCache>
            </c:numRef>
          </c:val>
        </c:ser>
        <c:gapWidth val="150"/>
        <c:overlap val="0"/>
        <c:axId val="91127656"/>
        <c:axId val="78532766"/>
      </c:barChart>
      <c:catAx>
        <c:axId val="9112765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8532766"/>
        <c:crosses val="autoZero"/>
        <c:auto val="1"/>
        <c:lblAlgn val="ctr"/>
        <c:lblOffset val="100"/>
        <c:noMultiLvlLbl val="0"/>
      </c:catAx>
      <c:valAx>
        <c:axId val="7853276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112765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Evidence vintage</a:t>
            </a:r>
          </a:p>
        </c:rich>
      </c:tx>
      <c:overlay val="0"/>
      <c:spPr>
        <a:noFill/>
        <a:ln w="0">
          <a:noFill/>
        </a:ln>
      </c:spPr>
    </c:title>
    <c:autoTitleDeleted val="0"/>
    <c:plotArea>
      <c:barChart>
        <c:barDir val="col"/>
        <c:grouping val="clustered"/>
        <c:varyColors val="0"/>
        <c:ser>
          <c:idx val="0"/>
          <c:order val="0"/>
          <c:tx>
            <c:strRef>
              <c:f>Visuals!B25</c:f>
              <c:strCache>
                <c:ptCount val="1"/>
                <c:pt idx="0">
                  <c:v>Readings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Visuals!$A$26:$A$35</c:f>
              <c:strCache>
                <c:ptCount val="10"/>
                <c:pt idx="0">
                  <c:v>2010</c:v>
                </c:pt>
                <c:pt idx="1">
                  <c:v>2017</c:v>
                </c:pt>
                <c:pt idx="2">
                  <c:v>2018</c:v>
                </c:pt>
                <c:pt idx="3">
                  <c:v>2019</c:v>
                </c:pt>
                <c:pt idx="4">
                  <c:v>2021</c:v>
                </c:pt>
                <c:pt idx="5">
                  <c:v>2022</c:v>
                </c:pt>
                <c:pt idx="6">
                  <c:v>2023</c:v>
                </c:pt>
                <c:pt idx="7">
                  <c:v>2024</c:v>
                </c:pt>
                <c:pt idx="8">
                  <c:v>2025</c:v>
                </c:pt>
                <c:pt idx="9">
                  <c:v>2026</c:v>
                </c:pt>
              </c:strCache>
            </c:strRef>
          </c:cat>
          <c:val>
            <c:numRef>
              <c:f>Visuals!$B$26:$B$35</c:f>
              <c:numCache>
                <c:formatCode>General</c:formatCode>
                <c:ptCount val="10"/>
                <c:pt idx="0">
                  <c:v>1</c:v>
                </c:pt>
                <c:pt idx="1">
                  <c:v>1</c:v>
                </c:pt>
                <c:pt idx="2">
                  <c:v>2</c:v>
                </c:pt>
                <c:pt idx="3">
                  <c:v>1</c:v>
                </c:pt>
                <c:pt idx="4">
                  <c:v>3</c:v>
                </c:pt>
                <c:pt idx="5">
                  <c:v>3</c:v>
                </c:pt>
                <c:pt idx="6">
                  <c:v>4</c:v>
                </c:pt>
                <c:pt idx="7">
                  <c:v>12</c:v>
                </c:pt>
                <c:pt idx="8">
                  <c:v>19</c:v>
                </c:pt>
                <c:pt idx="9">
                  <c:v>6</c:v>
                </c:pt>
              </c:numCache>
            </c:numRef>
          </c:val>
        </c:ser>
        <c:gapWidth val="150"/>
        <c:overlap val="0"/>
        <c:axId val="71208387"/>
        <c:axId val="70272808"/>
      </c:barChart>
      <c:catAx>
        <c:axId val="712083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272808"/>
        <c:crosses val="autoZero"/>
        <c:auto val="1"/>
        <c:lblAlgn val="ctr"/>
        <c:lblOffset val="100"/>
        <c:noMultiLvlLbl val="0"/>
      </c:catAx>
      <c:valAx>
        <c:axId val="7027280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20838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13</xdr:col>
      <xdr:colOff>290520</xdr:colOff>
      <xdr:row>19</xdr:row>
      <xdr:rowOff>1080</xdr:rowOff>
    </xdr:to>
    <xdr:graphicFrame>
      <xdr:nvGraphicFramePr>
        <xdr:cNvPr id="1" name="Chart 1"/>
        <xdr:cNvGraphicFramePr/>
      </xdr:nvGraphicFramePr>
      <xdr:xfrm>
        <a:off x="7307640" y="410760"/>
        <a:ext cx="39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21</xdr:row>
      <xdr:rowOff>0</xdr:rowOff>
    </xdr:from>
    <xdr:to>
      <xdr:col>13</xdr:col>
      <xdr:colOff>290520</xdr:colOff>
      <xdr:row>38</xdr:row>
      <xdr:rowOff>1080</xdr:rowOff>
    </xdr:to>
    <xdr:graphicFrame>
      <xdr:nvGraphicFramePr>
        <xdr:cNvPr id="2" name="Chart 2"/>
        <xdr:cNvGraphicFramePr/>
      </xdr:nvGraphicFramePr>
      <xdr:xfrm>
        <a:off x="7307640" y="4030200"/>
        <a:ext cx="39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40</xdr:row>
      <xdr:rowOff>0</xdr:rowOff>
    </xdr:from>
    <xdr:to>
      <xdr:col>13</xdr:col>
      <xdr:colOff>290520</xdr:colOff>
      <xdr:row>57</xdr:row>
      <xdr:rowOff>1440</xdr:rowOff>
    </xdr:to>
    <xdr:graphicFrame>
      <xdr:nvGraphicFramePr>
        <xdr:cNvPr id="3" name="Chart 3"/>
        <xdr:cNvGraphicFramePr/>
      </xdr:nvGraphicFramePr>
      <xdr:xfrm>
        <a:off x="7307640" y="7650000"/>
        <a:ext cx="39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0</xdr:colOff>
      <xdr:row>2</xdr:row>
      <xdr:rowOff>0</xdr:rowOff>
    </xdr:from>
    <xdr:to>
      <xdr:col>23</xdr:col>
      <xdr:colOff>542160</xdr:colOff>
      <xdr:row>17</xdr:row>
      <xdr:rowOff>21960</xdr:rowOff>
    </xdr:to>
    <xdr:graphicFrame>
      <xdr:nvGraphicFramePr>
        <xdr:cNvPr id="4" name="Chart 4"/>
        <xdr:cNvGraphicFramePr/>
      </xdr:nvGraphicFramePr>
      <xdr:xfrm>
        <a:off x="14034240" y="410760"/>
        <a:ext cx="359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0</xdr:colOff>
      <xdr:row>19</xdr:row>
      <xdr:rowOff>0</xdr:rowOff>
    </xdr:from>
    <xdr:to>
      <xdr:col>23</xdr:col>
      <xdr:colOff>542160</xdr:colOff>
      <xdr:row>34</xdr:row>
      <xdr:rowOff>21960</xdr:rowOff>
    </xdr:to>
    <xdr:graphicFrame>
      <xdr:nvGraphicFramePr>
        <xdr:cNvPr id="5" name="Chart 5"/>
        <xdr:cNvGraphicFramePr/>
      </xdr:nvGraphicFramePr>
      <xdr:xfrm>
        <a:off x="14034240" y="3649320"/>
        <a:ext cx="359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36</xdr:row>
      <xdr:rowOff>0</xdr:rowOff>
    </xdr:from>
    <xdr:to>
      <xdr:col>23</xdr:col>
      <xdr:colOff>542160</xdr:colOff>
      <xdr:row>51</xdr:row>
      <xdr:rowOff>22320</xdr:rowOff>
    </xdr:to>
    <xdr:graphicFrame>
      <xdr:nvGraphicFramePr>
        <xdr:cNvPr id="6" name="Chart 6"/>
        <xdr:cNvGraphicFramePr/>
      </xdr:nvGraphicFramePr>
      <xdr:xfrm>
        <a:off x="14034240" y="6887880"/>
        <a:ext cx="359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3"/>
    <col collapsed="false" customWidth="true" hidden="false" outlineLevel="0" max="3" min="3" style="0" width="26"/>
    <col collapsed="false" customWidth="true" hidden="false" outlineLevel="0" max="4" min="4" style="0" width="30"/>
    <col collapsed="false" customWidth="true" hidden="false" outlineLevel="0" max="7" min="5" style="0" width="17"/>
    <col collapsed="false" customWidth="true" hidden="false" outlineLevel="0" max="8" min="8" style="0" width="34"/>
  </cols>
  <sheetData>
    <row r="2" customFormat="false" ht="17.35" hidden="false" customHeight="false" outlineLevel="0" collapsed="false">
      <c r="C2" s="1" t="s">
        <v>0</v>
      </c>
    </row>
    <row r="3" customFormat="false" ht="15" hidden="false" customHeight="false" outlineLevel="0" collapsed="false">
      <c r="C3" s="2" t="s">
        <v>1</v>
      </c>
    </row>
    <row r="5" customFormat="false" ht="15" hidden="false" customHeight="false" outlineLevel="0" collapsed="false">
      <c r="C5" s="3" t="s">
        <v>2</v>
      </c>
    </row>
    <row r="7" customFormat="false" ht="15" hidden="false" customHeight="false" outlineLevel="0" collapsed="false">
      <c r="C7" s="4" t="s">
        <v>3</v>
      </c>
    </row>
    <row r="8" customFormat="false" ht="39.75" hidden="false" customHeight="true" outlineLevel="0" collapsed="false">
      <c r="C8" s="5" t="s">
        <v>4</v>
      </c>
      <c r="D8" s="6" t="s">
        <v>5</v>
      </c>
      <c r="E8" s="6"/>
      <c r="F8" s="6"/>
      <c r="G8" s="6"/>
      <c r="H8" s="6"/>
    </row>
    <row r="9" customFormat="false" ht="39.75" hidden="false" customHeight="true" outlineLevel="0" collapsed="false">
      <c r="C9" s="5" t="s">
        <v>6</v>
      </c>
      <c r="D9" s="6" t="s">
        <v>7</v>
      </c>
      <c r="E9" s="6"/>
      <c r="F9" s="6"/>
      <c r="G9" s="6"/>
      <c r="H9" s="6"/>
    </row>
    <row r="10" customFormat="false" ht="39.75" hidden="false" customHeight="true" outlineLevel="0" collapsed="false">
      <c r="C10" s="5" t="s">
        <v>8</v>
      </c>
      <c r="D10" s="6" t="s">
        <v>9</v>
      </c>
      <c r="E10" s="6"/>
      <c r="F10" s="6"/>
      <c r="G10" s="6"/>
      <c r="H10" s="6"/>
    </row>
    <row r="11" customFormat="false" ht="39.75" hidden="false" customHeight="true" outlineLevel="0" collapsed="false">
      <c r="C11" s="5" t="s">
        <v>10</v>
      </c>
      <c r="D11" s="6" t="s">
        <v>11</v>
      </c>
      <c r="E11" s="6"/>
      <c r="F11" s="6"/>
      <c r="G11" s="6"/>
      <c r="H11" s="6"/>
    </row>
    <row r="13" customFormat="false" ht="15" hidden="false" customHeight="false" outlineLevel="0" collapsed="false">
      <c r="C13" s="4" t="s">
        <v>12</v>
      </c>
    </row>
    <row r="14" customFormat="false" ht="30" hidden="false" customHeight="true" outlineLevel="0" collapsed="false">
      <c r="C14" s="5" t="s">
        <v>13</v>
      </c>
      <c r="D14" s="6" t="s">
        <v>14</v>
      </c>
      <c r="E14" s="6"/>
      <c r="F14" s="6"/>
      <c r="G14" s="6"/>
      <c r="H14" s="6"/>
    </row>
    <row r="15" customFormat="false" ht="30" hidden="false" customHeight="true" outlineLevel="0" collapsed="false">
      <c r="C15" s="5" t="s">
        <v>15</v>
      </c>
      <c r="D15" s="6" t="s">
        <v>16</v>
      </c>
      <c r="E15" s="6"/>
      <c r="F15" s="6"/>
      <c r="G15" s="6"/>
      <c r="H15" s="6"/>
    </row>
    <row r="16" customFormat="false" ht="30" hidden="false" customHeight="true" outlineLevel="0" collapsed="false">
      <c r="C16" s="5" t="s">
        <v>17</v>
      </c>
      <c r="D16" s="6" t="s">
        <v>18</v>
      </c>
      <c r="E16" s="6"/>
      <c r="F16" s="6"/>
      <c r="G16" s="6"/>
      <c r="H16" s="6"/>
    </row>
    <row r="17" customFormat="false" ht="30" hidden="false" customHeight="true" outlineLevel="0" collapsed="false">
      <c r="C17" s="5" t="s">
        <v>19</v>
      </c>
      <c r="D17" s="6" t="s">
        <v>20</v>
      </c>
      <c r="E17" s="6"/>
      <c r="F17" s="6"/>
      <c r="G17" s="6"/>
      <c r="H17" s="6"/>
    </row>
    <row r="18" customFormat="false" ht="30" hidden="false" customHeight="true" outlineLevel="0" collapsed="false">
      <c r="C18" s="5" t="s">
        <v>21</v>
      </c>
      <c r="D18" s="6" t="s">
        <v>22</v>
      </c>
      <c r="E18" s="6"/>
      <c r="F18" s="6"/>
      <c r="G18" s="6"/>
      <c r="H18" s="6"/>
    </row>
    <row r="20" customFormat="false" ht="15" hidden="false" customHeight="false" outlineLevel="0" collapsed="false">
      <c r="C20" s="4" t="s">
        <v>23</v>
      </c>
    </row>
    <row r="21" customFormat="false" ht="25.5" hidden="false" customHeight="true" outlineLevel="0" collapsed="false">
      <c r="D21" s="7" t="s">
        <v>24</v>
      </c>
      <c r="E21" s="7"/>
      <c r="F21" s="7"/>
      <c r="G21" s="7"/>
      <c r="H21" s="7"/>
    </row>
    <row r="22" customFormat="false" ht="15" hidden="false" customHeight="false" outlineLevel="0" collapsed="false">
      <c r="C22" s="8" t="s">
        <v>25</v>
      </c>
      <c r="D22" s="8" t="s">
        <v>26</v>
      </c>
      <c r="E22" s="8" t="s">
        <v>27</v>
      </c>
      <c r="F22" s="8" t="s">
        <v>28</v>
      </c>
      <c r="G22" s="8" t="s">
        <v>29</v>
      </c>
    </row>
    <row r="23" customFormat="false" ht="57.75" hidden="false" customHeight="true" outlineLevel="0" collapsed="false">
      <c r="C23" s="9" t="s">
        <v>30</v>
      </c>
      <c r="D23" s="10" t="s">
        <v>31</v>
      </c>
      <c r="E23" s="11"/>
      <c r="F23" s="11"/>
      <c r="G23" s="11"/>
    </row>
    <row r="24" customFormat="false" ht="57.75" hidden="false" customHeight="true" outlineLevel="0" collapsed="false">
      <c r="C24" s="9" t="s">
        <v>32</v>
      </c>
      <c r="D24" s="10" t="s">
        <v>33</v>
      </c>
      <c r="E24" s="11"/>
      <c r="F24" s="11"/>
      <c r="G24" s="11"/>
    </row>
    <row r="25" customFormat="false" ht="57.75" hidden="false" customHeight="true" outlineLevel="0" collapsed="false">
      <c r="C25" s="9" t="s">
        <v>34</v>
      </c>
      <c r="D25" s="10" t="s">
        <v>35</v>
      </c>
      <c r="E25" s="11"/>
      <c r="F25" s="11"/>
      <c r="G25" s="11"/>
    </row>
    <row r="27" customFormat="false" ht="15" hidden="false" customHeight="false" outlineLevel="0" collapsed="false">
      <c r="C27" s="4" t="s">
        <v>36</v>
      </c>
    </row>
    <row r="28" customFormat="false" ht="15" hidden="false" customHeight="false" outlineLevel="0" collapsed="false">
      <c r="D28" s="3" t="s">
        <v>37</v>
      </c>
    </row>
    <row r="29" customFormat="false" ht="15" hidden="false" customHeight="false" outlineLevel="0" collapsed="false">
      <c r="D29" s="3" t="s">
        <v>38</v>
      </c>
    </row>
    <row r="30" customFormat="false" ht="15" hidden="false" customHeight="false" outlineLevel="0" collapsed="false">
      <c r="D30" s="3" t="s">
        <v>39</v>
      </c>
    </row>
    <row r="31" customFormat="false" ht="15" hidden="false" customHeight="false" outlineLevel="0" collapsed="false">
      <c r="D31" s="3" t="s">
        <v>40</v>
      </c>
    </row>
  </sheetData>
  <mergeCells count="10">
    <mergeCell ref="D8:H8"/>
    <mergeCell ref="D9:H9"/>
    <mergeCell ref="D10:H10"/>
    <mergeCell ref="D11:H11"/>
    <mergeCell ref="D14:H14"/>
    <mergeCell ref="D15:H15"/>
    <mergeCell ref="D16:H16"/>
    <mergeCell ref="D17:H17"/>
    <mergeCell ref="D18:H18"/>
    <mergeCell ref="D21:H2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34"/>
    <col collapsed="false" customWidth="true" hidden="false" outlineLevel="0" max="3" min="3" style="0" width="16"/>
    <col collapsed="false" customWidth="true" hidden="false" outlineLevel="0" max="4" min="4" style="0" width="78"/>
  </cols>
  <sheetData>
    <row r="1" customFormat="false" ht="17.35" hidden="false" customHeight="false" outlineLevel="0" collapsed="false">
      <c r="B1" s="1" t="s">
        <v>41</v>
      </c>
    </row>
    <row r="2" customFormat="false" ht="25.5" hidden="false" customHeight="true" outlineLevel="0" collapsed="false">
      <c r="B2" s="5" t="s">
        <v>42</v>
      </c>
      <c r="C2" s="12" t="n">
        <v>2026</v>
      </c>
      <c r="D2" s="13" t="s">
        <v>43</v>
      </c>
    </row>
    <row r="3" customFormat="false" ht="25.5" hidden="false" customHeight="true" outlineLevel="0" collapsed="false">
      <c r="B3" s="5" t="s">
        <v>44</v>
      </c>
      <c r="C3" s="12" t="n">
        <v>3</v>
      </c>
      <c r="D3" s="13" t="s">
        <v>45</v>
      </c>
    </row>
    <row r="4" customFormat="false" ht="25.5" hidden="false" customHeight="true" outlineLevel="0" collapsed="false">
      <c r="B4" s="5" t="s">
        <v>46</v>
      </c>
      <c r="C4" s="3" t="n">
        <v>2.6</v>
      </c>
      <c r="D4" s="13" t="s">
        <v>47</v>
      </c>
    </row>
    <row r="5" customFormat="false" ht="25.5" hidden="false" customHeight="true" outlineLevel="0" collapsed="false">
      <c r="B5" s="5" t="s">
        <v>48</v>
      </c>
      <c r="C5" s="3" t="n">
        <v>1.5</v>
      </c>
      <c r="D5" s="13" t="s">
        <v>49</v>
      </c>
    </row>
    <row r="6" customFormat="false" ht="25.5" hidden="false" customHeight="true" outlineLevel="0" collapsed="false">
      <c r="B6" s="5" t="s">
        <v>50</v>
      </c>
      <c r="C6" s="3" t="s">
        <v>51</v>
      </c>
      <c r="D6" s="13" t="s">
        <v>52</v>
      </c>
    </row>
    <row r="7" customFormat="false" ht="13.5" hidden="false" customHeight="true" outlineLevel="0" collapsed="false">
      <c r="B7" s="5" t="s">
        <v>53</v>
      </c>
      <c r="C7" s="3" t="s">
        <v>54</v>
      </c>
      <c r="D7" s="13"/>
    </row>
    <row r="8" customFormat="false" ht="13.5" hidden="false" customHeight="true" outlineLevel="0" collapsed="false">
      <c r="B8" s="5" t="s">
        <v>55</v>
      </c>
      <c r="C8" s="3" t="s">
        <v>56</v>
      </c>
      <c r="D8" s="13"/>
    </row>
    <row r="9" customFormat="false" ht="13.5" hidden="false" customHeight="true" outlineLevel="0" collapsed="false">
      <c r="B9" s="5" t="s">
        <v>57</v>
      </c>
      <c r="C9" s="3" t="s">
        <v>58</v>
      </c>
      <c r="D9" s="13"/>
    </row>
    <row r="10" customFormat="false" ht="13.5" hidden="false" customHeight="true" outlineLevel="0" collapsed="false">
      <c r="B10" s="5" t="s">
        <v>59</v>
      </c>
      <c r="C10" s="3" t="s">
        <v>60</v>
      </c>
      <c r="D10" s="13"/>
    </row>
    <row r="11" customFormat="false" ht="25.5" hidden="false" customHeight="true" outlineLevel="0" collapsed="false">
      <c r="B11" s="5" t="s">
        <v>61</v>
      </c>
      <c r="C11" s="3" t="s">
        <v>62</v>
      </c>
      <c r="D11" s="13" t="s">
        <v>63</v>
      </c>
    </row>
    <row r="12" customFormat="false" ht="25.5" hidden="false" customHeight="true" outlineLevel="0" collapsed="false">
      <c r="B12" s="5" t="s">
        <v>64</v>
      </c>
      <c r="C12" s="3" t="s">
        <v>65</v>
      </c>
      <c r="D12" s="13" t="s">
        <v>66</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8"/>
    <col collapsed="false" customWidth="true" hidden="false" outlineLevel="0" max="3" min="3" style="0" width="30"/>
    <col collapsed="false" customWidth="true" hidden="false" outlineLevel="0" max="4" min="4" style="0" width="84"/>
  </cols>
  <sheetData>
    <row r="1" customFormat="false" ht="17.35" hidden="false" customHeight="false" outlineLevel="0" collapsed="false">
      <c r="B1" s="1" t="s">
        <v>67</v>
      </c>
    </row>
    <row r="2" customFormat="false" ht="15" hidden="false" customHeight="false" outlineLevel="0" collapsed="false">
      <c r="B2" s="2" t="s">
        <v>68</v>
      </c>
    </row>
    <row r="4" customFormat="false" ht="15" hidden="false" customHeight="false" outlineLevel="0" collapsed="false">
      <c r="B4" s="8" t="s">
        <v>69</v>
      </c>
      <c r="C4" s="8" t="s">
        <v>70</v>
      </c>
      <c r="D4" s="8" t="s">
        <v>71</v>
      </c>
    </row>
    <row r="5" customFormat="false" ht="30" hidden="false" customHeight="true" outlineLevel="0" collapsed="false">
      <c r="B5" s="9" t="n">
        <v>1</v>
      </c>
      <c r="C5" s="10" t="s">
        <v>72</v>
      </c>
      <c r="D5" s="10" t="s">
        <v>73</v>
      </c>
    </row>
    <row r="6" customFormat="false" ht="30" hidden="false" customHeight="true" outlineLevel="0" collapsed="false">
      <c r="B6" s="9" t="n">
        <v>2</v>
      </c>
      <c r="C6" s="10" t="s">
        <v>74</v>
      </c>
      <c r="D6" s="10" t="s">
        <v>75</v>
      </c>
    </row>
    <row r="7" customFormat="false" ht="30" hidden="false" customHeight="true" outlineLevel="0" collapsed="false">
      <c r="B7" s="9" t="n">
        <v>3</v>
      </c>
      <c r="C7" s="10" t="s">
        <v>76</v>
      </c>
      <c r="D7" s="10" t="s">
        <v>77</v>
      </c>
    </row>
    <row r="8" customFormat="false" ht="30" hidden="false" customHeight="true" outlineLevel="0" collapsed="false">
      <c r="B8" s="9" t="n">
        <v>4</v>
      </c>
      <c r="C8" s="10" t="s">
        <v>78</v>
      </c>
      <c r="D8" s="10" t="s">
        <v>79</v>
      </c>
    </row>
    <row r="9" customFormat="false" ht="30" hidden="false" customHeight="true" outlineLevel="0" collapsed="false">
      <c r="B9" s="9" t="n">
        <v>5</v>
      </c>
      <c r="C9" s="10" t="s">
        <v>80</v>
      </c>
      <c r="D9" s="10" t="s">
        <v>81</v>
      </c>
    </row>
    <row r="11" customFormat="false" ht="15" hidden="false" customHeight="false" outlineLevel="0" collapsed="false">
      <c r="B11" s="2" t="s">
        <v>82</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8"/>
    <col collapsed="false" customWidth="true" hidden="false" outlineLevel="0" max="3" min="3" style="0" width="42"/>
    <col collapsed="false" customWidth="true" hidden="false" outlineLevel="0" max="4" min="4" style="0" width="62"/>
    <col collapsed="false" customWidth="true" hidden="false" outlineLevel="0" max="5" min="5" style="0" width="52"/>
  </cols>
  <sheetData>
    <row r="1" customFormat="false" ht="17.35" hidden="false" customHeight="false" outlineLevel="0" collapsed="false">
      <c r="B1" s="1" t="s">
        <v>83</v>
      </c>
    </row>
    <row r="2" customFormat="false" ht="15" hidden="false" customHeight="false" outlineLevel="0" collapsed="false">
      <c r="B2" s="2" t="s">
        <v>84</v>
      </c>
    </row>
    <row r="4" customFormat="false" ht="15" hidden="false" customHeight="false" outlineLevel="0" collapsed="false">
      <c r="B4" s="8" t="s">
        <v>19</v>
      </c>
      <c r="C4" s="8" t="s">
        <v>85</v>
      </c>
      <c r="D4" s="8" t="s">
        <v>86</v>
      </c>
      <c r="E4" s="8" t="s">
        <v>87</v>
      </c>
    </row>
    <row r="5" customFormat="false" ht="33.75" hidden="false" customHeight="true" outlineLevel="0" collapsed="false">
      <c r="B5" s="9" t="s">
        <v>88</v>
      </c>
      <c r="C5" s="10" t="s">
        <v>89</v>
      </c>
      <c r="D5" s="10" t="s">
        <v>90</v>
      </c>
      <c r="E5" s="10" t="s">
        <v>91</v>
      </c>
    </row>
    <row r="6" customFormat="false" ht="33.75" hidden="false" customHeight="true" outlineLevel="0" collapsed="false">
      <c r="B6" s="9" t="s">
        <v>92</v>
      </c>
      <c r="C6" s="10" t="s">
        <v>93</v>
      </c>
      <c r="D6" s="10" t="s">
        <v>94</v>
      </c>
      <c r="E6" s="10" t="s">
        <v>95</v>
      </c>
    </row>
    <row r="7" customFormat="false" ht="33.75" hidden="false" customHeight="true" outlineLevel="0" collapsed="false">
      <c r="B7" s="9" t="s">
        <v>96</v>
      </c>
      <c r="C7" s="10" t="s">
        <v>97</v>
      </c>
      <c r="D7" s="10" t="s">
        <v>98</v>
      </c>
      <c r="E7" s="10" t="s">
        <v>99</v>
      </c>
    </row>
    <row r="8" customFormat="false" ht="33.75" hidden="false" customHeight="true" outlineLevel="0" collapsed="false">
      <c r="B8" s="9" t="s">
        <v>100</v>
      </c>
      <c r="C8" s="10" t="s">
        <v>101</v>
      </c>
      <c r="D8" s="10" t="s">
        <v>102</v>
      </c>
      <c r="E8" s="10" t="s">
        <v>103</v>
      </c>
    </row>
    <row r="9" customFormat="false" ht="33.75" hidden="false" customHeight="true" outlineLevel="0" collapsed="false">
      <c r="B9" s="9" t="s">
        <v>104</v>
      </c>
      <c r="C9" s="10" t="s">
        <v>105</v>
      </c>
      <c r="D9" s="10" t="s">
        <v>106</v>
      </c>
      <c r="E9" s="10" t="s">
        <v>107</v>
      </c>
    </row>
    <row r="11" customFormat="false" ht="25.5" hidden="false" customHeight="true" outlineLevel="0" collapsed="false">
      <c r="C11" s="7" t="s">
        <v>108</v>
      </c>
      <c r="D11" s="7"/>
      <c r="E11" s="7"/>
    </row>
    <row r="12" customFormat="false" ht="25.5" hidden="false" customHeight="true" outlineLevel="0" collapsed="false">
      <c r="C12" s="7" t="s">
        <v>109</v>
      </c>
      <c r="D12" s="7"/>
      <c r="E12" s="7"/>
    </row>
    <row r="13" customFormat="false" ht="25.5" hidden="false" customHeight="true" outlineLevel="0" collapsed="false">
      <c r="C13" s="7" t="s">
        <v>110</v>
      </c>
      <c r="D13" s="7"/>
      <c r="E13" s="7"/>
    </row>
  </sheetData>
  <mergeCells count="3">
    <mergeCell ref="C11:E11"/>
    <mergeCell ref="C12:E12"/>
    <mergeCell ref="C13:E1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44"/>
    <col collapsed="false" customWidth="true" hidden="false" outlineLevel="0" max="3" min="3" style="0" width="7"/>
    <col collapsed="false" customWidth="true" hidden="false" outlineLevel="0" max="4" min="4" style="0" width="15"/>
    <col collapsed="false" customWidth="true" hidden="false" outlineLevel="0" max="5" min="5" style="0" width="14"/>
    <col collapsed="false" customWidth="true" hidden="false" outlineLevel="0" max="6" min="6" style="0" width="10"/>
    <col collapsed="false" customWidth="true" hidden="false" outlineLevel="0" max="7" min="7" style="0" width="6"/>
    <col collapsed="false" customWidth="true" hidden="false" outlineLevel="0" max="8" min="8" style="0" width="5"/>
    <col collapsed="false" customWidth="true" hidden="false" outlineLevel="0" max="12" min="9" style="0" width="7"/>
    <col collapsed="false" customWidth="true" hidden="false" outlineLevel="0" max="13" min="13" style="0" width="46"/>
    <col collapsed="false" customWidth="true" hidden="false" outlineLevel="0" max="14" min="14" style="0" width="34"/>
    <col collapsed="false" customWidth="true" hidden="false" outlineLevel="0" max="15" min="15" style="0" width="30"/>
    <col collapsed="false" customWidth="true" hidden="false" outlineLevel="0" max="16" min="16" style="0" width="6"/>
    <col collapsed="false" customWidth="true" hidden="false" outlineLevel="0" max="17" min="17" style="0" width="7"/>
    <col collapsed="false" customWidth="true" hidden="false" outlineLevel="0" max="18" min="18" style="0" width="9"/>
    <col collapsed="false" customWidth="true" hidden="false" outlineLevel="0" max="19" min="19" style="0" width="12"/>
    <col collapsed="false" customWidth="true" hidden="false" outlineLevel="0" max="20" min="20" style="0" width="7"/>
    <col collapsed="false" customWidth="true" hidden="false" outlineLevel="0" max="21" min="21" style="0" width="8"/>
    <col collapsed="false" customWidth="true" hidden="true" outlineLevel="0" max="27" min="22" style="0" width="5"/>
    <col collapsed="false" customWidth="true" hidden="false" outlineLevel="0" max="28" min="28" style="0" width="78"/>
    <col collapsed="false" customWidth="true" hidden="false" outlineLevel="0" max="29" min="29" style="0" width="16"/>
  </cols>
  <sheetData>
    <row r="1" customFormat="false" ht="17.35" hidden="false" customHeight="false" outlineLevel="0" collapsed="false">
      <c r="A1" s="1" t="s">
        <v>111</v>
      </c>
    </row>
    <row r="2" customFormat="false" ht="15" hidden="false" customHeight="false" outlineLevel="0" collapsed="false">
      <c r="A2" s="2" t="s">
        <v>112</v>
      </c>
    </row>
    <row r="4" customFormat="false" ht="30" hidden="false" customHeight="true" outlineLevel="0" collapsed="false">
      <c r="A4" s="14" t="s">
        <v>113</v>
      </c>
      <c r="B4" s="14" t="s">
        <v>114</v>
      </c>
      <c r="C4" s="14" t="s">
        <v>115</v>
      </c>
      <c r="D4" s="14" t="s">
        <v>116</v>
      </c>
      <c r="E4" s="14" t="s">
        <v>117</v>
      </c>
      <c r="F4" s="14" t="s">
        <v>118</v>
      </c>
      <c r="G4" s="14" t="s">
        <v>119</v>
      </c>
      <c r="H4" s="14" t="s">
        <v>120</v>
      </c>
      <c r="I4" s="14" t="s">
        <v>121</v>
      </c>
      <c r="J4" s="14" t="s">
        <v>122</v>
      </c>
      <c r="K4" s="14" t="s">
        <v>123</v>
      </c>
      <c r="L4" s="14" t="s">
        <v>124</v>
      </c>
      <c r="M4" s="14" t="s">
        <v>17</v>
      </c>
      <c r="N4" s="14" t="s">
        <v>125</v>
      </c>
      <c r="O4" s="14" t="s">
        <v>126</v>
      </c>
      <c r="P4" s="14" t="s">
        <v>19</v>
      </c>
      <c r="Q4" s="14" t="s">
        <v>127</v>
      </c>
      <c r="R4" s="14" t="s">
        <v>21</v>
      </c>
      <c r="S4" s="14" t="s">
        <v>128</v>
      </c>
      <c r="T4" s="14" t="s">
        <v>69</v>
      </c>
      <c r="U4" s="14" t="s">
        <v>129</v>
      </c>
      <c r="V4" s="14" t="s">
        <v>130</v>
      </c>
      <c r="W4" s="14" t="s">
        <v>131</v>
      </c>
      <c r="X4" s="14" t="s">
        <v>132</v>
      </c>
      <c r="Y4" s="14" t="s">
        <v>133</v>
      </c>
      <c r="Z4" s="14" t="s">
        <v>134</v>
      </c>
      <c r="AA4" s="14" t="s">
        <v>135</v>
      </c>
      <c r="AB4" s="14" t="s">
        <v>136</v>
      </c>
      <c r="AC4" s="14" t="s">
        <v>137</v>
      </c>
    </row>
    <row r="5" customFormat="false" ht="46.25" hidden="false" customHeight="false" outlineLevel="0" collapsed="false">
      <c r="A5" s="15" t="s">
        <v>138</v>
      </c>
      <c r="B5" s="10" t="s">
        <v>139</v>
      </c>
      <c r="C5" s="15" t="s">
        <v>140</v>
      </c>
      <c r="D5" s="15" t="s">
        <v>141</v>
      </c>
      <c r="E5" s="15" t="s">
        <v>142</v>
      </c>
      <c r="F5" s="15"/>
      <c r="G5" s="15" t="s">
        <v>143</v>
      </c>
      <c r="H5" s="15" t="s">
        <v>144</v>
      </c>
      <c r="I5" s="15" t="n">
        <v>1000</v>
      </c>
      <c r="J5" s="15" t="n">
        <v>2500</v>
      </c>
      <c r="K5" s="15" t="n">
        <v>5000</v>
      </c>
      <c r="L5" s="15" t="n">
        <v>10000</v>
      </c>
      <c r="M5" s="16" t="n">
        <v>8942.41826869151</v>
      </c>
      <c r="N5" s="16" t="s">
        <v>145</v>
      </c>
      <c r="O5" s="16" t="s">
        <v>146</v>
      </c>
      <c r="P5" s="11" t="s">
        <v>88</v>
      </c>
      <c r="Q5" s="11" t="n">
        <v>2025</v>
      </c>
      <c r="R5" s="11"/>
      <c r="S5" s="15" t="str">
        <f aca="false">IF($M5="","",IF(ISNUMBER($M5),"Measured",IF(ISNUMBER(SEARCH("DATA GAP",UPPER($M5))),"Gap",IF(AND($N5&lt;&gt;"",$P5&lt;&gt;"T5"),"Documented","Judged"))))</f>
        <v>Measured</v>
      </c>
      <c r="T5" s="15" t="n">
        <f aca="false">IF($AC5&lt;&gt;"","",IF(OR($S5="",$S5="Gap"),"",IF($S5="Measured",1+IF($H5="H",IF($M5&gt;=$I5,1,0)+IF($M5&gt;=$J5,1,0)+IF($M5&gt;=$K5,1,0)+IF($M5&gt;=$L5,1,0),IF($M5&lt;=$I5,1,0)+IF($M5&lt;=$J5,1,0)+IF($M5&lt;=$K5,1,0)+IF($M5&lt;=$L5,1,0)),IF($R5&lt;&gt;"",$R5,""))))</f>
        <v>4</v>
      </c>
      <c r="U5" s="15" t="str">
        <f aca="false">IF(OR($S5="",$S5="Gap",$Q5=""),"",IF($Q5&lt;Config!$C$2-Config!$C$3,"STALE",""))</f>
        <v/>
      </c>
      <c r="V5" s="15" t="n">
        <f aca="false">IF(OR(ISNUMBER(SEARCH("ALL",$E5)),ISNUMBER(SEARCH("ADV",$E5))),1,0)</f>
        <v>0</v>
      </c>
      <c r="W5" s="15" t="n">
        <f aca="false">IF(OR(ISNUMBER(SEARCH("ALL",$E5)),ISNUMBER(SEARCH("SMF",$E5))),1,0)</f>
        <v>0</v>
      </c>
      <c r="X5" s="15" t="n">
        <f aca="false">IF(OR(ISNUMBER(SEARCH("ALL",$E5)),ISNUMBER(SEARCH("MKT",$E5))),1,0)</f>
        <v>0</v>
      </c>
      <c r="Y5" s="15" t="n">
        <f aca="false">IF(OR(ISNUMBER(SEARCH("ALL",$E5)),ISNUMBER(SEARCH("SCM",$E5))),1,0)</f>
        <v>0</v>
      </c>
      <c r="Z5" s="15" t="n">
        <f aca="false">IF(OR(ISNUMBER(SEARCH("ALL",$E5)),ISNUMBER(SEARCH("FIN",$E5))),1,0)</f>
        <v>0</v>
      </c>
      <c r="AA5" s="15" t="n">
        <f aca="false">IF(OR(ISNUMBER(SEARCH("ALL",$E5)),ISNUMBER(SEARCH("AGI",$E5))),1,0)</f>
        <v>0</v>
      </c>
      <c r="AB5" s="17" t="s">
        <v>147</v>
      </c>
    </row>
    <row r="6" customFormat="false" ht="46.25" hidden="false" customHeight="false" outlineLevel="0" collapsed="false">
      <c r="A6" s="15" t="s">
        <v>148</v>
      </c>
      <c r="B6" s="10" t="s">
        <v>149</v>
      </c>
      <c r="C6" s="15" t="s">
        <v>140</v>
      </c>
      <c r="D6" s="15" t="s">
        <v>141</v>
      </c>
      <c r="E6" s="15" t="s">
        <v>142</v>
      </c>
      <c r="F6" s="15"/>
      <c r="G6" s="15" t="s">
        <v>143</v>
      </c>
      <c r="H6" s="15" t="s">
        <v>144</v>
      </c>
      <c r="I6" s="15" t="n">
        <v>1500</v>
      </c>
      <c r="J6" s="15" t="n">
        <v>3000</v>
      </c>
      <c r="K6" s="15" t="n">
        <v>4500</v>
      </c>
      <c r="L6" s="15" t="n">
        <v>6000</v>
      </c>
      <c r="M6" s="16" t="n">
        <v>7402.2</v>
      </c>
      <c r="N6" s="16" t="s">
        <v>150</v>
      </c>
      <c r="O6" s="16" t="s">
        <v>151</v>
      </c>
      <c r="P6" s="11" t="s">
        <v>88</v>
      </c>
      <c r="Q6" s="11" t="n">
        <v>2023</v>
      </c>
      <c r="R6" s="11"/>
      <c r="S6" s="15" t="str">
        <f aca="false">IF($M6="","",IF(ISNUMBER($M6),"Measured",IF(ISNUMBER(SEARCH("DATA GAP",UPPER($M6))),"Gap",IF(AND($N6&lt;&gt;"",$P6&lt;&gt;"T5"),"Documented","Judged"))))</f>
        <v>Measured</v>
      </c>
      <c r="T6" s="15" t="n">
        <f aca="false">IF($AC6&lt;&gt;"","",IF(OR($S6="",$S6="Gap"),"",IF($S6="Measured",1+IF($H6="H",IF($M6&gt;=$I6,1,0)+IF($M6&gt;=$J6,1,0)+IF($M6&gt;=$K6,1,0)+IF($M6&gt;=$L6,1,0),IF($M6&lt;=$I6,1,0)+IF($M6&lt;=$J6,1,0)+IF($M6&lt;=$K6,1,0)+IF($M6&lt;=$L6,1,0)),IF($R6&lt;&gt;"",$R6,""))))</f>
        <v>5</v>
      </c>
      <c r="U6" s="15" t="str">
        <f aca="false">IF(OR($S6="",$S6="Gap",$Q6=""),"",IF($Q6&lt;Config!$C$2-Config!$C$3,"STALE",""))</f>
        <v/>
      </c>
      <c r="V6" s="15" t="n">
        <f aca="false">IF(OR(ISNUMBER(SEARCH("ALL",$E6)),ISNUMBER(SEARCH("ADV",$E6))),1,0)</f>
        <v>0</v>
      </c>
      <c r="W6" s="15" t="n">
        <f aca="false">IF(OR(ISNUMBER(SEARCH("ALL",$E6)),ISNUMBER(SEARCH("SMF",$E6))),1,0)</f>
        <v>0</v>
      </c>
      <c r="X6" s="15" t="n">
        <f aca="false">IF(OR(ISNUMBER(SEARCH("ALL",$E6)),ISNUMBER(SEARCH("MKT",$E6))),1,0)</f>
        <v>0</v>
      </c>
      <c r="Y6" s="15" t="n">
        <f aca="false">IF(OR(ISNUMBER(SEARCH("ALL",$E6)),ISNUMBER(SEARCH("SCM",$E6))),1,0)</f>
        <v>0</v>
      </c>
      <c r="Z6" s="15" t="n">
        <f aca="false">IF(OR(ISNUMBER(SEARCH("ALL",$E6)),ISNUMBER(SEARCH("FIN",$E6))),1,0)</f>
        <v>0</v>
      </c>
      <c r="AA6" s="15" t="n">
        <f aca="false">IF(OR(ISNUMBER(SEARCH("ALL",$E6)),ISNUMBER(SEARCH("AGI",$E6))),1,0)</f>
        <v>0</v>
      </c>
    </row>
    <row r="7" customFormat="false" ht="46.25" hidden="false" customHeight="false" outlineLevel="0" collapsed="false">
      <c r="A7" s="15" t="s">
        <v>152</v>
      </c>
      <c r="B7" s="10" t="s">
        <v>153</v>
      </c>
      <c r="C7" s="15" t="s">
        <v>140</v>
      </c>
      <c r="D7" s="15" t="s">
        <v>141</v>
      </c>
      <c r="E7" s="15" t="s">
        <v>142</v>
      </c>
      <c r="F7" s="15"/>
      <c r="G7" s="15" t="s">
        <v>143</v>
      </c>
      <c r="H7" s="15" t="s">
        <v>154</v>
      </c>
      <c r="I7" s="15" t="n">
        <v>45</v>
      </c>
      <c r="J7" s="15" t="n">
        <v>30</v>
      </c>
      <c r="K7" s="15" t="n">
        <v>15</v>
      </c>
      <c r="L7" s="15" t="n">
        <v>5</v>
      </c>
      <c r="M7" s="16" t="n">
        <v>17.5246443528294</v>
      </c>
      <c r="N7" s="16" t="s">
        <v>155</v>
      </c>
      <c r="O7" s="16" t="s">
        <v>156</v>
      </c>
      <c r="P7" s="11" t="s">
        <v>88</v>
      </c>
      <c r="Q7" s="11" t="n">
        <v>2025</v>
      </c>
      <c r="R7" s="11"/>
      <c r="S7" s="15" t="str">
        <f aca="false">IF($M7="","",IF(ISNUMBER($M7),"Measured",IF(ISNUMBER(SEARCH("DATA GAP",UPPER($M7))),"Gap",IF(AND($N7&lt;&gt;"",$P7&lt;&gt;"T5"),"Documented","Judged"))))</f>
        <v>Measured</v>
      </c>
      <c r="T7" s="15" t="n">
        <f aca="false">IF($AC7&lt;&gt;"","",IF(OR($S7="",$S7="Gap"),"",IF($S7="Measured",1+IF($H7="H",IF($M7&gt;=$I7,1,0)+IF($M7&gt;=$J7,1,0)+IF($M7&gt;=$K7,1,0)+IF($M7&gt;=$L7,1,0),IF($M7&lt;=$I7,1,0)+IF($M7&lt;=$J7,1,0)+IF($M7&lt;=$K7,1,0)+IF($M7&lt;=$L7,1,0)),IF($R7&lt;&gt;"",$R7,""))))</f>
        <v>3</v>
      </c>
      <c r="U7" s="15" t="str">
        <f aca="false">IF(OR($S7="",$S7="Gap",$Q7=""),"",IF($Q7&lt;Config!$C$2-Config!$C$3,"STALE",""))</f>
        <v/>
      </c>
      <c r="V7" s="15" t="n">
        <f aca="false">IF(OR(ISNUMBER(SEARCH("ALL",$E7)),ISNUMBER(SEARCH("ADV",$E7))),1,0)</f>
        <v>0</v>
      </c>
      <c r="W7" s="15" t="n">
        <f aca="false">IF(OR(ISNUMBER(SEARCH("ALL",$E7)),ISNUMBER(SEARCH("SMF",$E7))),1,0)</f>
        <v>0</v>
      </c>
      <c r="X7" s="15" t="n">
        <f aca="false">IF(OR(ISNUMBER(SEARCH("ALL",$E7)),ISNUMBER(SEARCH("MKT",$E7))),1,0)</f>
        <v>0</v>
      </c>
      <c r="Y7" s="15" t="n">
        <f aca="false">IF(OR(ISNUMBER(SEARCH("ALL",$E7)),ISNUMBER(SEARCH("SCM",$E7))),1,0)</f>
        <v>0</v>
      </c>
      <c r="Z7" s="15" t="n">
        <f aca="false">IF(OR(ISNUMBER(SEARCH("ALL",$E7)),ISNUMBER(SEARCH("FIN",$E7))),1,0)</f>
        <v>0</v>
      </c>
      <c r="AA7" s="15" t="n">
        <f aca="false">IF(OR(ISNUMBER(SEARCH("ALL",$E7)),ISNUMBER(SEARCH("AGI",$E7))),1,0)</f>
        <v>0</v>
      </c>
      <c r="AB7" s="17" t="s">
        <v>157</v>
      </c>
    </row>
    <row r="8" customFormat="false" ht="46.25" hidden="false" customHeight="false" outlineLevel="0" collapsed="false">
      <c r="A8" s="15" t="s">
        <v>158</v>
      </c>
      <c r="B8" s="10" t="s">
        <v>159</v>
      </c>
      <c r="C8" s="15" t="s">
        <v>140</v>
      </c>
      <c r="D8" s="15" t="s">
        <v>141</v>
      </c>
      <c r="E8" s="15" t="s">
        <v>142</v>
      </c>
      <c r="F8" s="15"/>
      <c r="G8" s="15" t="s">
        <v>143</v>
      </c>
      <c r="H8" s="15" t="s">
        <v>144</v>
      </c>
      <c r="I8" s="15" t="n">
        <v>95</v>
      </c>
      <c r="J8" s="15" t="n">
        <v>105</v>
      </c>
      <c r="K8" s="15" t="n">
        <v>115</v>
      </c>
      <c r="L8" s="15" t="n">
        <v>130</v>
      </c>
      <c r="M8" s="16" t="n">
        <v>109.07</v>
      </c>
      <c r="N8" s="16" t="s">
        <v>160</v>
      </c>
      <c r="O8" s="16" t="s">
        <v>161</v>
      </c>
      <c r="P8" s="11" t="s">
        <v>88</v>
      </c>
      <c r="Q8" s="11" t="n">
        <v>2022</v>
      </c>
      <c r="R8" s="11"/>
      <c r="S8" s="15" t="str">
        <f aca="false">IF($M8="","",IF(ISNUMBER($M8),"Measured",IF(ISNUMBER(SEARCH("DATA GAP",UPPER($M8))),"Gap",IF(AND($N8&lt;&gt;"",$P8&lt;&gt;"T5"),"Documented","Judged"))))</f>
        <v>Measured</v>
      </c>
      <c r="T8" s="15" t="n">
        <f aca="false">IF($AC8&lt;&gt;"","",IF(OR($S8="",$S8="Gap"),"",IF($S8="Measured",1+IF($H8="H",IF($M8&gt;=$I8,1,0)+IF($M8&gt;=$J8,1,0)+IF($M8&gt;=$K8,1,0)+IF($M8&gt;=$L8,1,0),IF($M8&lt;=$I8,1,0)+IF($M8&lt;=$J8,1,0)+IF($M8&lt;=$K8,1,0)+IF($M8&lt;=$L8,1,0)),IF($R8&lt;&gt;"",$R8,""))))</f>
        <v>3</v>
      </c>
      <c r="U8" s="15" t="str">
        <f aca="false">IF(OR($S8="",$S8="Gap",$Q8=""),"",IF($Q8&lt;Config!$C$2-Config!$C$3,"STALE",""))</f>
        <v>STALE</v>
      </c>
      <c r="V8" s="15" t="n">
        <f aca="false">IF(OR(ISNUMBER(SEARCH("ALL",$E8)),ISNUMBER(SEARCH("ADV",$E8))),1,0)</f>
        <v>0</v>
      </c>
      <c r="W8" s="15" t="n">
        <f aca="false">IF(OR(ISNUMBER(SEARCH("ALL",$E8)),ISNUMBER(SEARCH("SMF",$E8))),1,0)</f>
        <v>0</v>
      </c>
      <c r="X8" s="15" t="n">
        <f aca="false">IF(OR(ISNUMBER(SEARCH("ALL",$E8)),ISNUMBER(SEARCH("MKT",$E8))),1,0)</f>
        <v>0</v>
      </c>
      <c r="Y8" s="15" t="n">
        <f aca="false">IF(OR(ISNUMBER(SEARCH("ALL",$E8)),ISNUMBER(SEARCH("SCM",$E8))),1,0)</f>
        <v>0</v>
      </c>
      <c r="Z8" s="15" t="n">
        <f aca="false">IF(OR(ISNUMBER(SEARCH("ALL",$E8)),ISNUMBER(SEARCH("FIN",$E8))),1,0)</f>
        <v>0</v>
      </c>
      <c r="AA8" s="15" t="n">
        <f aca="false">IF(OR(ISNUMBER(SEARCH("ALL",$E8)),ISNUMBER(SEARCH("AGI",$E8))),1,0)</f>
        <v>0</v>
      </c>
    </row>
    <row r="9" customFormat="false" ht="57.45" hidden="false" customHeight="false" outlineLevel="0" collapsed="false">
      <c r="A9" s="15" t="s">
        <v>162</v>
      </c>
      <c r="B9" s="10" t="s">
        <v>163</v>
      </c>
      <c r="C9" s="15" t="s">
        <v>140</v>
      </c>
      <c r="D9" s="15" t="s">
        <v>141</v>
      </c>
      <c r="E9" s="15" t="s">
        <v>142</v>
      </c>
      <c r="F9" s="15"/>
      <c r="G9" s="15" t="s">
        <v>143</v>
      </c>
      <c r="H9" s="15" t="s">
        <v>154</v>
      </c>
      <c r="I9" s="15" t="n">
        <v>30</v>
      </c>
      <c r="J9" s="15" t="n">
        <v>20</v>
      </c>
      <c r="K9" s="15" t="n">
        <v>12</v>
      </c>
      <c r="L9" s="15" t="n">
        <v>5</v>
      </c>
      <c r="M9" s="16" t="s">
        <v>164</v>
      </c>
      <c r="N9" s="16" t="s">
        <v>165</v>
      </c>
      <c r="O9" s="16" t="s">
        <v>166</v>
      </c>
      <c r="P9" s="11" t="s">
        <v>92</v>
      </c>
      <c r="Q9" s="11" t="n">
        <v>2019</v>
      </c>
      <c r="R9" s="11" t="n">
        <v>4</v>
      </c>
      <c r="S9" s="15" t="str">
        <f aca="false">IF($M9="","",IF(ISNUMBER($M9),"Measured",IF(ISNUMBER(SEARCH("DATA GAP",UPPER($M9))),"Gap",IF(AND($N9&lt;&gt;"",$P9&lt;&gt;"T5"),"Documented","Judged"))))</f>
        <v>Documented</v>
      </c>
      <c r="T9" s="15" t="n">
        <f aca="false">IF($AC9&lt;&gt;"","",IF(OR($S9="",$S9="Gap"),"",IF($S9="Measured",1+IF($H9="H",IF($M9&gt;=$I9,1,0)+IF($M9&gt;=$J9,1,0)+IF($M9&gt;=$K9,1,0)+IF($M9&gt;=$L9,1,0),IF($M9&lt;=$I9,1,0)+IF($M9&lt;=$J9,1,0)+IF($M9&lt;=$K9,1,0)+IF($M9&lt;=$L9,1,0)),IF($R9&lt;&gt;"",$R9,""))))</f>
        <v>4</v>
      </c>
      <c r="U9" s="15" t="str">
        <f aca="false">IF(OR($S9="",$S9="Gap",$Q9=""),"",IF($Q9&lt;Config!$C$2-Config!$C$3,"STALE",""))</f>
        <v>STALE</v>
      </c>
      <c r="V9" s="15" t="n">
        <f aca="false">IF(OR(ISNUMBER(SEARCH("ALL",$E9)),ISNUMBER(SEARCH("ADV",$E9))),1,0)</f>
        <v>0</v>
      </c>
      <c r="W9" s="15" t="n">
        <f aca="false">IF(OR(ISNUMBER(SEARCH("ALL",$E9)),ISNUMBER(SEARCH("SMF",$E9))),1,0)</f>
        <v>0</v>
      </c>
      <c r="X9" s="15" t="n">
        <f aca="false">IF(OR(ISNUMBER(SEARCH("ALL",$E9)),ISNUMBER(SEARCH("MKT",$E9))),1,0)</f>
        <v>0</v>
      </c>
      <c r="Y9" s="15" t="n">
        <f aca="false">IF(OR(ISNUMBER(SEARCH("ALL",$E9)),ISNUMBER(SEARCH("SCM",$E9))),1,0)</f>
        <v>0</v>
      </c>
      <c r="Z9" s="15" t="n">
        <f aca="false">IF(OR(ISNUMBER(SEARCH("ALL",$E9)),ISNUMBER(SEARCH("FIN",$E9))),1,0)</f>
        <v>0</v>
      </c>
      <c r="AA9" s="15" t="n">
        <f aca="false">IF(OR(ISNUMBER(SEARCH("ALL",$E9)),ISNUMBER(SEARCH("AGI",$E9))),1,0)</f>
        <v>0</v>
      </c>
      <c r="AB9" s="17" t="s">
        <v>167</v>
      </c>
    </row>
    <row r="10" customFormat="false" ht="68.65" hidden="false" customHeight="false" outlineLevel="0" collapsed="false">
      <c r="A10" s="15" t="s">
        <v>168</v>
      </c>
      <c r="B10" s="10" t="s">
        <v>169</v>
      </c>
      <c r="C10" s="15" t="s">
        <v>140</v>
      </c>
      <c r="D10" s="15" t="s">
        <v>141</v>
      </c>
      <c r="E10" s="15" t="s">
        <v>170</v>
      </c>
      <c r="F10" s="15"/>
      <c r="G10" s="15" t="s">
        <v>143</v>
      </c>
      <c r="H10" s="15" t="s">
        <v>144</v>
      </c>
      <c r="I10" s="15" t="n">
        <v>20</v>
      </c>
      <c r="J10" s="15" t="n">
        <v>40</v>
      </c>
      <c r="K10" s="15" t="n">
        <v>60</v>
      </c>
      <c r="L10" s="15" t="n">
        <v>80</v>
      </c>
      <c r="M10" s="16" t="s">
        <v>171</v>
      </c>
      <c r="N10" s="16" t="s">
        <v>172</v>
      </c>
      <c r="O10" s="16" t="s">
        <v>173</v>
      </c>
      <c r="P10" s="11" t="s">
        <v>92</v>
      </c>
      <c r="Q10" s="11" t="n">
        <v>2018</v>
      </c>
      <c r="R10" s="11" t="n">
        <v>1</v>
      </c>
      <c r="S10" s="15" t="str">
        <f aca="false">IF($M10="","",IF(ISNUMBER($M10),"Measured",IF(ISNUMBER(SEARCH("DATA GAP",UPPER($M10))),"Gap",IF(AND($N10&lt;&gt;"",$P10&lt;&gt;"T5"),"Documented","Judged"))))</f>
        <v>Documented</v>
      </c>
      <c r="T10" s="15" t="n">
        <f aca="false">IF($AC10&lt;&gt;"","",IF(OR($S10="",$S10="Gap"),"",IF($S10="Measured",1+IF($H10="H",IF($M10&gt;=$I10,1,0)+IF($M10&gt;=$J10,1,0)+IF($M10&gt;=$K10,1,0)+IF($M10&gt;=$L10,1,0),IF($M10&lt;=$I10,1,0)+IF($M10&lt;=$J10,1,0)+IF($M10&lt;=$K10,1,0)+IF($M10&lt;=$L10,1,0)),IF($R10&lt;&gt;"",$R10,""))))</f>
        <v>1</v>
      </c>
      <c r="U10" s="15" t="str">
        <f aca="false">IF(OR($S10="",$S10="Gap",$Q10=""),"",IF($Q10&lt;Config!$C$2-Config!$C$3,"STALE",""))</f>
        <v>STALE</v>
      </c>
      <c r="V10" s="15" t="n">
        <f aca="false">IF(OR(ISNUMBER(SEARCH("ALL",$E10)),ISNUMBER(SEARCH("ADV",$E10))),1,0)</f>
        <v>0</v>
      </c>
      <c r="W10" s="15" t="n">
        <f aca="false">IF(OR(ISNUMBER(SEARCH("ALL",$E10)),ISNUMBER(SEARCH("SMF",$E10))),1,0)</f>
        <v>0</v>
      </c>
      <c r="X10" s="15" t="n">
        <f aca="false">IF(OR(ISNUMBER(SEARCH("ALL",$E10)),ISNUMBER(SEARCH("MKT",$E10))),1,0)</f>
        <v>1</v>
      </c>
      <c r="Y10" s="15" t="n">
        <f aca="false">IF(OR(ISNUMBER(SEARCH("ALL",$E10)),ISNUMBER(SEARCH("SCM",$E10))),1,0)</f>
        <v>0</v>
      </c>
      <c r="Z10" s="15" t="n">
        <f aca="false">IF(OR(ISNUMBER(SEARCH("ALL",$E10)),ISNUMBER(SEARCH("FIN",$E10))),1,0)</f>
        <v>0</v>
      </c>
      <c r="AA10" s="15" t="n">
        <f aca="false">IF(OR(ISNUMBER(SEARCH("ALL",$E10)),ISNUMBER(SEARCH("AGI",$E10))),1,0)</f>
        <v>0</v>
      </c>
      <c r="AB10" s="17" t="s">
        <v>174</v>
      </c>
    </row>
    <row r="11" customFormat="false" ht="57.45" hidden="false" customHeight="false" outlineLevel="0" collapsed="false">
      <c r="A11" s="15" t="s">
        <v>175</v>
      </c>
      <c r="B11" s="10" t="s">
        <v>176</v>
      </c>
      <c r="C11" s="15" t="s">
        <v>140</v>
      </c>
      <c r="D11" s="15" t="s">
        <v>141</v>
      </c>
      <c r="E11" s="15" t="s">
        <v>177</v>
      </c>
      <c r="F11" s="15"/>
      <c r="G11" s="15" t="s">
        <v>143</v>
      </c>
      <c r="H11" s="15" t="s">
        <v>144</v>
      </c>
      <c r="I11" s="15" t="n">
        <v>10</v>
      </c>
      <c r="J11" s="15" t="n">
        <v>25</v>
      </c>
      <c r="K11" s="15" t="n">
        <v>40</v>
      </c>
      <c r="L11" s="15" t="n">
        <v>60</v>
      </c>
      <c r="M11" s="16" t="s">
        <v>178</v>
      </c>
      <c r="N11" s="16" t="s">
        <v>179</v>
      </c>
      <c r="O11" s="16" t="s">
        <v>180</v>
      </c>
      <c r="P11" s="11" t="s">
        <v>92</v>
      </c>
      <c r="Q11" s="11" t="n">
        <v>2018</v>
      </c>
      <c r="R11" s="11" t="n">
        <v>1</v>
      </c>
      <c r="S11" s="15" t="str">
        <f aca="false">IF($M11="","",IF(ISNUMBER($M11),"Measured",IF(ISNUMBER(SEARCH("DATA GAP",UPPER($M11))),"Gap",IF(AND($N11&lt;&gt;"",$P11&lt;&gt;"T5"),"Documented","Judged"))))</f>
        <v>Documented</v>
      </c>
      <c r="T11" s="15" t="n">
        <f aca="false">IF($AC11&lt;&gt;"","",IF(OR($S11="",$S11="Gap"),"",IF($S11="Measured",1+IF($H11="H",IF($M11&gt;=$I11,1,0)+IF($M11&gt;=$J11,1,0)+IF($M11&gt;=$K11,1,0)+IF($M11&gt;=$L11,1,0),IF($M11&lt;=$I11,1,0)+IF($M11&lt;=$J11,1,0)+IF($M11&lt;=$K11,1,0)+IF($M11&lt;=$L11,1,0)),IF($R11&lt;&gt;"",$R11,""))))</f>
        <v>1</v>
      </c>
      <c r="U11" s="15" t="str">
        <f aca="false">IF(OR($S11="",$S11="Gap",$Q11=""),"",IF($Q11&lt;Config!$C$2-Config!$C$3,"STALE",""))</f>
        <v>STALE</v>
      </c>
      <c r="V11" s="15" t="n">
        <f aca="false">IF(OR(ISNUMBER(SEARCH("ALL",$E11)),ISNUMBER(SEARCH("ADV",$E11))),1,0)</f>
        <v>0</v>
      </c>
      <c r="W11" s="15" t="n">
        <f aca="false">IF(OR(ISNUMBER(SEARCH("ALL",$E11)),ISNUMBER(SEARCH("SMF",$E11))),1,0)</f>
        <v>0</v>
      </c>
      <c r="X11" s="15" t="n">
        <f aca="false">IF(OR(ISNUMBER(SEARCH("ALL",$E11)),ISNUMBER(SEARCH("MKT",$E11))),1,0)</f>
        <v>0</v>
      </c>
      <c r="Y11" s="15" t="n">
        <f aca="false">IF(OR(ISNUMBER(SEARCH("ALL",$E11)),ISNUMBER(SEARCH("SCM",$E11))),1,0)</f>
        <v>0</v>
      </c>
      <c r="Z11" s="15" t="n">
        <f aca="false">IF(OR(ISNUMBER(SEARCH("ALL",$E11)),ISNUMBER(SEARCH("FIN",$E11))),1,0)</f>
        <v>1</v>
      </c>
      <c r="AA11" s="15" t="n">
        <f aca="false">IF(OR(ISNUMBER(SEARCH("ALL",$E11)),ISNUMBER(SEARCH("AGI",$E11))),1,0)</f>
        <v>0</v>
      </c>
      <c r="AB11" s="17" t="s">
        <v>181</v>
      </c>
    </row>
    <row r="12" customFormat="false" ht="68.65" hidden="false" customHeight="false" outlineLevel="0" collapsed="false">
      <c r="A12" s="15" t="s">
        <v>182</v>
      </c>
      <c r="B12" s="10" t="s">
        <v>183</v>
      </c>
      <c r="C12" s="15" t="s">
        <v>140</v>
      </c>
      <c r="D12" s="15" t="s">
        <v>141</v>
      </c>
      <c r="E12" s="15" t="s">
        <v>184</v>
      </c>
      <c r="F12" s="15"/>
      <c r="G12" s="15" t="s">
        <v>143</v>
      </c>
      <c r="H12" s="15" t="s">
        <v>144</v>
      </c>
      <c r="I12" s="15" t="n">
        <v>20</v>
      </c>
      <c r="J12" s="15" t="n">
        <v>40</v>
      </c>
      <c r="K12" s="15" t="n">
        <v>60</v>
      </c>
      <c r="L12" s="15" t="n">
        <v>80</v>
      </c>
      <c r="M12" s="16" t="s">
        <v>185</v>
      </c>
      <c r="N12" s="16" t="s">
        <v>186</v>
      </c>
      <c r="O12" s="16" t="s">
        <v>187</v>
      </c>
      <c r="P12" s="11" t="s">
        <v>100</v>
      </c>
      <c r="Q12" s="11" t="n">
        <v>2017</v>
      </c>
      <c r="R12" s="11"/>
      <c r="S12" s="15" t="str">
        <f aca="false">IF($M12="","",IF(ISNUMBER($M12),"Measured",IF(ISNUMBER(SEARCH("DATA GAP",UPPER($M12))),"Gap",IF(AND($N12&lt;&gt;"",$P12&lt;&gt;"T5"),"Documented","Judged"))))</f>
        <v>Documented</v>
      </c>
      <c r="T12" s="15" t="str">
        <f aca="false">IF($AC12&lt;&gt;"","",IF(OR($S12="",$S12="Gap"),"",IF($S12="Measured",1+IF($H12="H",IF($M12&gt;=$I12,1,0)+IF($M12&gt;=$J12,1,0)+IF($M12&gt;=$K12,1,0)+IF($M12&gt;=$L12,1,0),IF($M12&lt;=$I12,1,0)+IF($M12&lt;=$J12,1,0)+IF($M12&lt;=$K12,1,0)+IF($M12&lt;=$L12,1,0)),IF($R12&lt;&gt;"",$R12,""))))</f>
        <v/>
      </c>
      <c r="U12" s="15" t="str">
        <f aca="false">IF(OR($S12="",$S12="Gap",$Q12=""),"",IF($Q12&lt;Config!$C$2-Config!$C$3,"STALE",""))</f>
        <v>STALE</v>
      </c>
      <c r="V12" s="15" t="n">
        <f aca="false">IF(OR(ISNUMBER(SEARCH("ALL",$E12)),ISNUMBER(SEARCH("ADV",$E12))),1,0)</f>
        <v>1</v>
      </c>
      <c r="W12" s="15" t="n">
        <f aca="false">IF(OR(ISNUMBER(SEARCH("ALL",$E12)),ISNUMBER(SEARCH("SMF",$E12))),1,0)</f>
        <v>0</v>
      </c>
      <c r="X12" s="15" t="n">
        <f aca="false">IF(OR(ISNUMBER(SEARCH("ALL",$E12)),ISNUMBER(SEARCH("MKT",$E12))),1,0)</f>
        <v>0</v>
      </c>
      <c r="Y12" s="15" t="n">
        <f aca="false">IF(OR(ISNUMBER(SEARCH("ALL",$E12)),ISNUMBER(SEARCH("SCM",$E12))),1,0)</f>
        <v>0</v>
      </c>
      <c r="Z12" s="15" t="n">
        <f aca="false">IF(OR(ISNUMBER(SEARCH("ALL",$E12)),ISNUMBER(SEARCH("FIN",$E12))),1,0)</f>
        <v>0</v>
      </c>
      <c r="AA12" s="15" t="n">
        <f aca="false">IF(OR(ISNUMBER(SEARCH("ALL",$E12)),ISNUMBER(SEARCH("AGI",$E12))),1,0)</f>
        <v>0</v>
      </c>
      <c r="AB12" s="17" t="s">
        <v>188</v>
      </c>
      <c r="AC12" s="11" t="s">
        <v>189</v>
      </c>
    </row>
    <row r="13" customFormat="false" ht="46.25" hidden="false" customHeight="false" outlineLevel="0" collapsed="false">
      <c r="A13" s="15" t="s">
        <v>190</v>
      </c>
      <c r="B13" s="10" t="s">
        <v>191</v>
      </c>
      <c r="C13" s="15" t="s">
        <v>140</v>
      </c>
      <c r="D13" s="15" t="s">
        <v>141</v>
      </c>
      <c r="E13" s="15" t="s">
        <v>142</v>
      </c>
      <c r="F13" s="15"/>
      <c r="G13" s="15" t="s">
        <v>143</v>
      </c>
      <c r="H13" s="15" t="s">
        <v>154</v>
      </c>
      <c r="I13" s="15" t="n">
        <v>25</v>
      </c>
      <c r="J13" s="15" t="n">
        <v>15</v>
      </c>
      <c r="K13" s="15" t="n">
        <v>7.5</v>
      </c>
      <c r="L13" s="15" t="n">
        <v>2.5</v>
      </c>
      <c r="M13" s="16" t="n">
        <v>9.4</v>
      </c>
      <c r="N13" s="16" t="s">
        <v>192</v>
      </c>
      <c r="O13" s="16" t="s">
        <v>193</v>
      </c>
      <c r="P13" s="11" t="s">
        <v>88</v>
      </c>
      <c r="Q13" s="11" t="n">
        <v>2023</v>
      </c>
      <c r="R13" s="11"/>
      <c r="S13" s="15" t="str">
        <f aca="false">IF($M13="","",IF(ISNUMBER($M13),"Measured",IF(ISNUMBER(SEARCH("DATA GAP",UPPER($M13))),"Gap",IF(AND($N13&lt;&gt;"",$P13&lt;&gt;"T5"),"Documented","Judged"))))</f>
        <v>Measured</v>
      </c>
      <c r="T13" s="15" t="n">
        <f aca="false">IF($AC13&lt;&gt;"","",IF(OR($S13="",$S13="Gap"),"",IF($S13="Measured",1+IF($H13="H",IF($M13&gt;=$I13,1,0)+IF($M13&gt;=$J13,1,0)+IF($M13&gt;=$K13,1,0)+IF($M13&gt;=$L13,1,0),IF($M13&lt;=$I13,1,0)+IF($M13&lt;=$J13,1,0)+IF($M13&lt;=$K13,1,0)+IF($M13&lt;=$L13,1,0)),IF($R13&lt;&gt;"",$R13,""))))</f>
        <v>3</v>
      </c>
      <c r="U13" s="15" t="str">
        <f aca="false">IF(OR($S13="",$S13="Gap",$Q13=""),"",IF($Q13&lt;Config!$C$2-Config!$C$3,"STALE",""))</f>
        <v/>
      </c>
      <c r="V13" s="15" t="n">
        <f aca="false">IF(OR(ISNUMBER(SEARCH("ALL",$E13)),ISNUMBER(SEARCH("ADV",$E13))),1,0)</f>
        <v>0</v>
      </c>
      <c r="W13" s="15" t="n">
        <f aca="false">IF(OR(ISNUMBER(SEARCH("ALL",$E13)),ISNUMBER(SEARCH("SMF",$E13))),1,0)</f>
        <v>0</v>
      </c>
      <c r="X13" s="15" t="n">
        <f aca="false">IF(OR(ISNUMBER(SEARCH("ALL",$E13)),ISNUMBER(SEARCH("MKT",$E13))),1,0)</f>
        <v>0</v>
      </c>
      <c r="Y13" s="15" t="n">
        <f aca="false">IF(OR(ISNUMBER(SEARCH("ALL",$E13)),ISNUMBER(SEARCH("SCM",$E13))),1,0)</f>
        <v>0</v>
      </c>
      <c r="Z13" s="15" t="n">
        <f aca="false">IF(OR(ISNUMBER(SEARCH("ALL",$E13)),ISNUMBER(SEARCH("FIN",$E13))),1,0)</f>
        <v>0</v>
      </c>
      <c r="AA13" s="15" t="n">
        <f aca="false">IF(OR(ISNUMBER(SEARCH("ALL",$E13)),ISNUMBER(SEARCH("AGI",$E13))),1,0)</f>
        <v>0</v>
      </c>
    </row>
    <row r="14" customFormat="false" ht="57.45" hidden="false" customHeight="false" outlineLevel="0" collapsed="false">
      <c r="A14" s="15" t="s">
        <v>194</v>
      </c>
      <c r="B14" s="10" t="s">
        <v>195</v>
      </c>
      <c r="C14" s="15" t="s">
        <v>140</v>
      </c>
      <c r="D14" s="15" t="s">
        <v>141</v>
      </c>
      <c r="E14" s="15" t="s">
        <v>196</v>
      </c>
      <c r="F14" s="15"/>
      <c r="G14" s="15" t="s">
        <v>143</v>
      </c>
      <c r="H14" s="15" t="s">
        <v>144</v>
      </c>
      <c r="I14" s="15" t="n">
        <v>10</v>
      </c>
      <c r="J14" s="15" t="n">
        <v>25</v>
      </c>
      <c r="K14" s="15" t="n">
        <v>40</v>
      </c>
      <c r="L14" s="15" t="n">
        <v>50</v>
      </c>
      <c r="M14" s="16" t="n">
        <v>3.94</v>
      </c>
      <c r="N14" s="16" t="s">
        <v>197</v>
      </c>
      <c r="O14" s="16" t="s">
        <v>198</v>
      </c>
      <c r="P14" s="11" t="s">
        <v>88</v>
      </c>
      <c r="Q14" s="11" t="n">
        <v>2010</v>
      </c>
      <c r="R14" s="11"/>
      <c r="S14" s="15" t="str">
        <f aca="false">IF($M14="","",IF(ISNUMBER($M14),"Measured",IF(ISNUMBER(SEARCH("DATA GAP",UPPER($M14))),"Gap",IF(AND($N14&lt;&gt;"",$P14&lt;&gt;"T5"),"Documented","Judged"))))</f>
        <v>Measured</v>
      </c>
      <c r="T14" s="15" t="str">
        <f aca="false">IF($AC14&lt;&gt;"","",IF(OR($S14="",$S14="Gap"),"",IF($S14="Measured",1+IF($H14="H",IF($M14&gt;=$I14,1,0)+IF($M14&gt;=$J14,1,0)+IF($M14&gt;=$K14,1,0)+IF($M14&gt;=$L14,1,0),IF($M14&lt;=$I14,1,0)+IF($M14&lt;=$J14,1,0)+IF($M14&lt;=$K14,1,0)+IF($M14&lt;=$L14,1,0)),IF($R14&lt;&gt;"",$R14,""))))</f>
        <v/>
      </c>
      <c r="U14" s="15" t="str">
        <f aca="false">IF(OR($S14="",$S14="Gap",$Q14=""),"",IF($Q14&lt;Config!$C$2-Config!$C$3,"STALE",""))</f>
        <v>STALE</v>
      </c>
      <c r="V14" s="15" t="n">
        <f aca="false">IF(OR(ISNUMBER(SEARCH("ALL",$E14)),ISNUMBER(SEARCH("ADV",$E14))),1,0)</f>
        <v>0</v>
      </c>
      <c r="W14" s="15" t="n">
        <f aca="false">IF(OR(ISNUMBER(SEARCH("ALL",$E14)),ISNUMBER(SEARCH("SMF",$E14))),1,0)</f>
        <v>0</v>
      </c>
      <c r="X14" s="15" t="n">
        <f aca="false">IF(OR(ISNUMBER(SEARCH("ALL",$E14)),ISNUMBER(SEARCH("MKT",$E14))),1,0)</f>
        <v>0</v>
      </c>
      <c r="Y14" s="15" t="n">
        <f aca="false">IF(OR(ISNUMBER(SEARCH("ALL",$E14)),ISNUMBER(SEARCH("SCM",$E14))),1,0)</f>
        <v>0</v>
      </c>
      <c r="Z14" s="15" t="n">
        <f aca="false">IF(OR(ISNUMBER(SEARCH("ALL",$E14)),ISNUMBER(SEARCH("FIN",$E14))),1,0)</f>
        <v>0</v>
      </c>
      <c r="AA14" s="15" t="n">
        <f aca="false">IF(OR(ISNUMBER(SEARCH("ALL",$E14)),ISNUMBER(SEARCH("AGI",$E14))),1,0)</f>
        <v>0</v>
      </c>
      <c r="AB14" s="17" t="s">
        <v>199</v>
      </c>
      <c r="AC14" s="11" t="s">
        <v>189</v>
      </c>
    </row>
    <row r="15" customFormat="false" ht="46.25" hidden="false" customHeight="false" outlineLevel="0" collapsed="false">
      <c r="A15" s="15" t="s">
        <v>200</v>
      </c>
      <c r="B15" s="10" t="s">
        <v>201</v>
      </c>
      <c r="C15" s="15" t="s">
        <v>202</v>
      </c>
      <c r="D15" s="15" t="s">
        <v>141</v>
      </c>
      <c r="E15" s="15" t="s">
        <v>203</v>
      </c>
      <c r="F15" s="15" t="s">
        <v>204</v>
      </c>
      <c r="G15" s="15" t="s">
        <v>143</v>
      </c>
      <c r="H15" s="15" t="s">
        <v>144</v>
      </c>
      <c r="I15" s="15" t="n">
        <v>20</v>
      </c>
      <c r="J15" s="15" t="n">
        <v>40</v>
      </c>
      <c r="K15" s="15" t="n">
        <v>60</v>
      </c>
      <c r="L15" s="15" t="n">
        <v>80</v>
      </c>
      <c r="M15" s="16" t="s">
        <v>205</v>
      </c>
      <c r="N15" s="16" t="s">
        <v>206</v>
      </c>
      <c r="O15" s="16"/>
      <c r="P15" s="11"/>
      <c r="Q15" s="11" t="n">
        <v>2025</v>
      </c>
      <c r="R15" s="11"/>
      <c r="S15" s="15" t="str">
        <f aca="false">IF($M15="","",IF(ISNUMBER($M15),"Measured",IF(ISNUMBER(SEARCH("DATA GAP",UPPER($M15))),"Gap",IF(AND($N15&lt;&gt;"",$P15&lt;&gt;"T5"),"Documented","Judged"))))</f>
        <v>Gap</v>
      </c>
      <c r="T15" s="15" t="str">
        <f aca="false">IF($AC15&lt;&gt;"","",IF(OR($S15="",$S15="Gap"),"",IF($S15="Measured",1+IF($H15="H",IF($M15&gt;=$I15,1,0)+IF($M15&gt;=$J15,1,0)+IF($M15&gt;=$K15,1,0)+IF($M15&gt;=$L15,1,0),IF($M15&lt;=$I15,1,0)+IF($M15&lt;=$J15,1,0)+IF($M15&lt;=$K15,1,0)+IF($M15&lt;=$L15,1,0)),IF($R15&lt;&gt;"",$R15,""))))</f>
        <v/>
      </c>
      <c r="U15" s="15" t="str">
        <f aca="false">IF(OR($S15="",$S15="Gap",$Q15=""),"",IF($Q15&lt;Config!$C$2-Config!$C$3,"STALE",""))</f>
        <v/>
      </c>
      <c r="V15" s="15" t="n">
        <f aca="false">IF(OR(ISNUMBER(SEARCH("ALL",$E15)),ISNUMBER(SEARCH("ADV",$E15))),1,0)</f>
        <v>1</v>
      </c>
      <c r="W15" s="15" t="n">
        <f aca="false">IF(OR(ISNUMBER(SEARCH("ALL",$E15)),ISNUMBER(SEARCH("SMF",$E15))),1,0)</f>
        <v>1</v>
      </c>
      <c r="X15" s="15" t="n">
        <f aca="false">IF(OR(ISNUMBER(SEARCH("ALL",$E15)),ISNUMBER(SEARCH("MKT",$E15))),1,0)</f>
        <v>1</v>
      </c>
      <c r="Y15" s="15" t="n">
        <f aca="false">IF(OR(ISNUMBER(SEARCH("ALL",$E15)),ISNUMBER(SEARCH("SCM",$E15))),1,0)</f>
        <v>1</v>
      </c>
      <c r="Z15" s="15" t="n">
        <f aca="false">IF(OR(ISNUMBER(SEARCH("ALL",$E15)),ISNUMBER(SEARCH("FIN",$E15))),1,0)</f>
        <v>1</v>
      </c>
      <c r="AA15" s="15" t="n">
        <f aca="false">IF(OR(ISNUMBER(SEARCH("ALL",$E15)),ISNUMBER(SEARCH("AGI",$E15))),1,0)</f>
        <v>1</v>
      </c>
      <c r="AB15" s="17" t="s">
        <v>207</v>
      </c>
    </row>
    <row r="16" customFormat="false" ht="46.25" hidden="false" customHeight="false" outlineLevel="0" collapsed="false">
      <c r="A16" s="15" t="s">
        <v>208</v>
      </c>
      <c r="B16" s="10" t="s">
        <v>209</v>
      </c>
      <c r="C16" s="15" t="s">
        <v>202</v>
      </c>
      <c r="D16" s="15" t="s">
        <v>141</v>
      </c>
      <c r="E16" s="15" t="s">
        <v>203</v>
      </c>
      <c r="F16" s="15"/>
      <c r="G16" s="15" t="s">
        <v>143</v>
      </c>
      <c r="H16" s="15" t="s">
        <v>144</v>
      </c>
      <c r="I16" s="15" t="n">
        <v>20</v>
      </c>
      <c r="J16" s="15" t="n">
        <v>40</v>
      </c>
      <c r="K16" s="15" t="n">
        <v>60</v>
      </c>
      <c r="L16" s="15" t="n">
        <v>80</v>
      </c>
      <c r="M16" s="16" t="n">
        <v>74.64839935</v>
      </c>
      <c r="N16" s="16" t="s">
        <v>210</v>
      </c>
      <c r="O16" s="16" t="s">
        <v>211</v>
      </c>
      <c r="P16" s="11" t="s">
        <v>88</v>
      </c>
      <c r="Q16" s="11" t="n">
        <v>2024</v>
      </c>
      <c r="R16" s="11"/>
      <c r="S16" s="15" t="str">
        <f aca="false">IF($M16="","",IF(ISNUMBER($M16),"Measured",IF(ISNUMBER(SEARCH("DATA GAP",UPPER($M16))),"Gap",IF(AND($N16&lt;&gt;"",$P16&lt;&gt;"T5"),"Documented","Judged"))))</f>
        <v>Measured</v>
      </c>
      <c r="T16" s="15" t="n">
        <f aca="false">IF($AC16&lt;&gt;"","",IF(OR($S16="",$S16="Gap"),"",IF($S16="Measured",1+IF($H16="H",IF($M16&gt;=$I16,1,0)+IF($M16&gt;=$J16,1,0)+IF($M16&gt;=$K16,1,0)+IF($M16&gt;=$L16,1,0),IF($M16&lt;=$I16,1,0)+IF($M16&lt;=$J16,1,0)+IF($M16&lt;=$K16,1,0)+IF($M16&lt;=$L16,1,0)),IF($R16&lt;&gt;"",$R16,""))))</f>
        <v>4</v>
      </c>
      <c r="U16" s="15" t="str">
        <f aca="false">IF(OR($S16="",$S16="Gap",$Q16=""),"",IF($Q16&lt;Config!$C$2-Config!$C$3,"STALE",""))</f>
        <v/>
      </c>
      <c r="V16" s="15" t="n">
        <f aca="false">IF(OR(ISNUMBER(SEARCH("ALL",$E16)),ISNUMBER(SEARCH("ADV",$E16))),1,0)</f>
        <v>1</v>
      </c>
      <c r="W16" s="15" t="n">
        <f aca="false">IF(OR(ISNUMBER(SEARCH("ALL",$E16)),ISNUMBER(SEARCH("SMF",$E16))),1,0)</f>
        <v>1</v>
      </c>
      <c r="X16" s="15" t="n">
        <f aca="false">IF(OR(ISNUMBER(SEARCH("ALL",$E16)),ISNUMBER(SEARCH("MKT",$E16))),1,0)</f>
        <v>1</v>
      </c>
      <c r="Y16" s="15" t="n">
        <f aca="false">IF(OR(ISNUMBER(SEARCH("ALL",$E16)),ISNUMBER(SEARCH("SCM",$E16))),1,0)</f>
        <v>1</v>
      </c>
      <c r="Z16" s="15" t="n">
        <f aca="false">IF(OR(ISNUMBER(SEARCH("ALL",$E16)),ISNUMBER(SEARCH("FIN",$E16))),1,0)</f>
        <v>1</v>
      </c>
      <c r="AA16" s="15" t="n">
        <f aca="false">IF(OR(ISNUMBER(SEARCH("ALL",$E16)),ISNUMBER(SEARCH("AGI",$E16))),1,0)</f>
        <v>1</v>
      </c>
    </row>
    <row r="17" customFormat="false" ht="46.25" hidden="false" customHeight="false" outlineLevel="0" collapsed="false">
      <c r="A17" s="15" t="s">
        <v>212</v>
      </c>
      <c r="B17" s="10" t="s">
        <v>213</v>
      </c>
      <c r="C17" s="15" t="s">
        <v>202</v>
      </c>
      <c r="D17" s="15" t="s">
        <v>141</v>
      </c>
      <c r="E17" s="15" t="s">
        <v>203</v>
      </c>
      <c r="F17" s="15"/>
      <c r="G17" s="15" t="s">
        <v>143</v>
      </c>
      <c r="H17" s="15" t="s">
        <v>154</v>
      </c>
      <c r="I17" s="15" t="n">
        <v>10</v>
      </c>
      <c r="J17" s="15" t="n">
        <v>5</v>
      </c>
      <c r="K17" s="15" t="n">
        <v>2</v>
      </c>
      <c r="L17" s="15" t="n">
        <v>1</v>
      </c>
      <c r="M17" s="16" t="n">
        <v>0.9</v>
      </c>
      <c r="N17" s="16" t="s">
        <v>214</v>
      </c>
      <c r="O17" s="16" t="s">
        <v>215</v>
      </c>
      <c r="P17" s="11" t="s">
        <v>88</v>
      </c>
      <c r="Q17" s="11" t="n">
        <v>2025</v>
      </c>
      <c r="R17" s="11"/>
      <c r="S17" s="15" t="str">
        <f aca="false">IF($M17="","",IF(ISNUMBER($M17),"Measured",IF(ISNUMBER(SEARCH("DATA GAP",UPPER($M17))),"Gap",IF(AND($N17&lt;&gt;"",$P17&lt;&gt;"T5"),"Documented","Judged"))))</f>
        <v>Measured</v>
      </c>
      <c r="T17" s="15" t="n">
        <f aca="false">IF($AC17&lt;&gt;"","",IF(OR($S17="",$S17="Gap"),"",IF($S17="Measured",1+IF($H17="H",IF($M17&gt;=$I17,1,0)+IF($M17&gt;=$J17,1,0)+IF($M17&gt;=$K17,1,0)+IF($M17&gt;=$L17,1,0),IF($M17&lt;=$I17,1,0)+IF($M17&lt;=$J17,1,0)+IF($M17&lt;=$K17,1,0)+IF($M17&lt;=$L17,1,0)),IF($R17&lt;&gt;"",$R17,""))))</f>
        <v>5</v>
      </c>
      <c r="U17" s="15" t="str">
        <f aca="false">IF(OR($S17="",$S17="Gap",$Q17=""),"",IF($Q17&lt;Config!$C$2-Config!$C$3,"STALE",""))</f>
        <v/>
      </c>
      <c r="V17" s="15" t="n">
        <f aca="false">IF(OR(ISNUMBER(SEARCH("ALL",$E17)),ISNUMBER(SEARCH("ADV",$E17))),1,0)</f>
        <v>1</v>
      </c>
      <c r="W17" s="15" t="n">
        <f aca="false">IF(OR(ISNUMBER(SEARCH("ALL",$E17)),ISNUMBER(SEARCH("SMF",$E17))),1,0)</f>
        <v>1</v>
      </c>
      <c r="X17" s="15" t="n">
        <f aca="false">IF(OR(ISNUMBER(SEARCH("ALL",$E17)),ISNUMBER(SEARCH("MKT",$E17))),1,0)</f>
        <v>1</v>
      </c>
      <c r="Y17" s="15" t="n">
        <f aca="false">IF(OR(ISNUMBER(SEARCH("ALL",$E17)),ISNUMBER(SEARCH("SCM",$E17))),1,0)</f>
        <v>1</v>
      </c>
      <c r="Z17" s="15" t="n">
        <f aca="false">IF(OR(ISNUMBER(SEARCH("ALL",$E17)),ISNUMBER(SEARCH("FIN",$E17))),1,0)</f>
        <v>1</v>
      </c>
      <c r="AA17" s="15" t="n">
        <f aca="false">IF(OR(ISNUMBER(SEARCH("ALL",$E17)),ISNUMBER(SEARCH("AGI",$E17))),1,0)</f>
        <v>1</v>
      </c>
      <c r="AB17" s="17" t="s">
        <v>216</v>
      </c>
    </row>
    <row r="18" customFormat="false" ht="68.65" hidden="false" customHeight="false" outlineLevel="0" collapsed="false">
      <c r="A18" s="15" t="s">
        <v>217</v>
      </c>
      <c r="B18" s="10" t="s">
        <v>218</v>
      </c>
      <c r="C18" s="15" t="s">
        <v>202</v>
      </c>
      <c r="D18" s="15" t="s">
        <v>141</v>
      </c>
      <c r="E18" s="15" t="s">
        <v>203</v>
      </c>
      <c r="F18" s="15"/>
      <c r="G18" s="15" t="s">
        <v>143</v>
      </c>
      <c r="H18" s="15" t="s">
        <v>144</v>
      </c>
      <c r="I18" s="15" t="n">
        <v>20</v>
      </c>
      <c r="J18" s="15" t="n">
        <v>40</v>
      </c>
      <c r="K18" s="15" t="n">
        <v>60</v>
      </c>
      <c r="L18" s="15" t="n">
        <v>80</v>
      </c>
      <c r="M18" s="16" t="n">
        <v>67.4</v>
      </c>
      <c r="N18" s="16" t="s">
        <v>219</v>
      </c>
      <c r="O18" s="16" t="s">
        <v>220</v>
      </c>
      <c r="P18" s="11" t="s">
        <v>96</v>
      </c>
      <c r="Q18" s="11" t="n">
        <v>2022</v>
      </c>
      <c r="R18" s="11"/>
      <c r="S18" s="15" t="str">
        <f aca="false">IF($M18="","",IF(ISNUMBER($M18),"Measured",IF(ISNUMBER(SEARCH("DATA GAP",UPPER($M18))),"Gap",IF(AND($N18&lt;&gt;"",$P18&lt;&gt;"T5"),"Documented","Judged"))))</f>
        <v>Measured</v>
      </c>
      <c r="T18" s="15" t="n">
        <f aca="false">IF($AC18&lt;&gt;"","",IF(OR($S18="",$S18="Gap"),"",IF($S18="Measured",1+IF($H18="H",IF($M18&gt;=$I18,1,0)+IF($M18&gt;=$J18,1,0)+IF($M18&gt;=$K18,1,0)+IF($M18&gt;=$L18,1,0),IF($M18&lt;=$I18,1,0)+IF($M18&lt;=$J18,1,0)+IF($M18&lt;=$K18,1,0)+IF($M18&lt;=$L18,1,0)),IF($R18&lt;&gt;"",$R18,""))))</f>
        <v>4</v>
      </c>
      <c r="U18" s="15" t="str">
        <f aca="false">IF(OR($S18="",$S18="Gap",$Q18=""),"",IF($Q18&lt;Config!$C$2-Config!$C$3,"STALE",""))</f>
        <v>STALE</v>
      </c>
      <c r="V18" s="15" t="n">
        <f aca="false">IF(OR(ISNUMBER(SEARCH("ALL",$E18)),ISNUMBER(SEARCH("ADV",$E18))),1,0)</f>
        <v>1</v>
      </c>
      <c r="W18" s="15" t="n">
        <f aca="false">IF(OR(ISNUMBER(SEARCH("ALL",$E18)),ISNUMBER(SEARCH("SMF",$E18))),1,0)</f>
        <v>1</v>
      </c>
      <c r="X18" s="15" t="n">
        <f aca="false">IF(OR(ISNUMBER(SEARCH("ALL",$E18)),ISNUMBER(SEARCH("MKT",$E18))),1,0)</f>
        <v>1</v>
      </c>
      <c r="Y18" s="15" t="n">
        <f aca="false">IF(OR(ISNUMBER(SEARCH("ALL",$E18)),ISNUMBER(SEARCH("SCM",$E18))),1,0)</f>
        <v>1</v>
      </c>
      <c r="Z18" s="15" t="n">
        <f aca="false">IF(OR(ISNUMBER(SEARCH("ALL",$E18)),ISNUMBER(SEARCH("FIN",$E18))),1,0)</f>
        <v>1</v>
      </c>
      <c r="AA18" s="15" t="n">
        <f aca="false">IF(OR(ISNUMBER(SEARCH("ALL",$E18)),ISNUMBER(SEARCH("AGI",$E18))),1,0)</f>
        <v>1</v>
      </c>
      <c r="AB18" s="17" t="s">
        <v>221</v>
      </c>
    </row>
    <row r="19" customFormat="false" ht="46.25" hidden="false" customHeight="false" outlineLevel="0" collapsed="false">
      <c r="A19" s="15" t="s">
        <v>222</v>
      </c>
      <c r="B19" s="10" t="s">
        <v>223</v>
      </c>
      <c r="C19" s="15" t="s">
        <v>202</v>
      </c>
      <c r="D19" s="15" t="s">
        <v>141</v>
      </c>
      <c r="E19" s="15" t="s">
        <v>203</v>
      </c>
      <c r="F19" s="15" t="s">
        <v>204</v>
      </c>
      <c r="G19" s="15" t="s">
        <v>143</v>
      </c>
      <c r="H19" s="15" t="s">
        <v>144</v>
      </c>
      <c r="I19" s="15" t="n">
        <v>20</v>
      </c>
      <c r="J19" s="15" t="n">
        <v>40</v>
      </c>
      <c r="K19" s="15" t="n">
        <v>60</v>
      </c>
      <c r="L19" s="15" t="n">
        <v>80</v>
      </c>
      <c r="M19" s="16" t="n">
        <v>100</v>
      </c>
      <c r="N19" s="16" t="s">
        <v>224</v>
      </c>
      <c r="O19" s="16" t="s">
        <v>225</v>
      </c>
      <c r="P19" s="11" t="s">
        <v>88</v>
      </c>
      <c r="Q19" s="11" t="n">
        <v>2024</v>
      </c>
      <c r="R19" s="11"/>
      <c r="S19" s="15" t="str">
        <f aca="false">IF($M19="","",IF(ISNUMBER($M19),"Measured",IF(ISNUMBER(SEARCH("DATA GAP",UPPER($M19))),"Gap",IF(AND($N19&lt;&gt;"",$P19&lt;&gt;"T5"),"Documented","Judged"))))</f>
        <v>Measured</v>
      </c>
      <c r="T19" s="15" t="n">
        <f aca="false">IF($AC19&lt;&gt;"","",IF(OR($S19="",$S19="Gap"),"",IF($S19="Measured",1+IF($H19="H",IF($M19&gt;=$I19,1,0)+IF($M19&gt;=$J19,1,0)+IF($M19&gt;=$K19,1,0)+IF($M19&gt;=$L19,1,0),IF($M19&lt;=$I19,1,0)+IF($M19&lt;=$J19,1,0)+IF($M19&lt;=$K19,1,0)+IF($M19&lt;=$L19,1,0)),IF($R19&lt;&gt;"",$R19,""))))</f>
        <v>5</v>
      </c>
      <c r="U19" s="15" t="str">
        <f aca="false">IF(OR($S19="",$S19="Gap",$Q19=""),"",IF($Q19&lt;Config!$C$2-Config!$C$3,"STALE",""))</f>
        <v/>
      </c>
      <c r="V19" s="15" t="n">
        <f aca="false">IF(OR(ISNUMBER(SEARCH("ALL",$E19)),ISNUMBER(SEARCH("ADV",$E19))),1,0)</f>
        <v>1</v>
      </c>
      <c r="W19" s="15" t="n">
        <f aca="false">IF(OR(ISNUMBER(SEARCH("ALL",$E19)),ISNUMBER(SEARCH("SMF",$E19))),1,0)</f>
        <v>1</v>
      </c>
      <c r="X19" s="15" t="n">
        <f aca="false">IF(OR(ISNUMBER(SEARCH("ALL",$E19)),ISNUMBER(SEARCH("MKT",$E19))),1,0)</f>
        <v>1</v>
      </c>
      <c r="Y19" s="15" t="n">
        <f aca="false">IF(OR(ISNUMBER(SEARCH("ALL",$E19)),ISNUMBER(SEARCH("SCM",$E19))),1,0)</f>
        <v>1</v>
      </c>
      <c r="Z19" s="15" t="n">
        <f aca="false">IF(OR(ISNUMBER(SEARCH("ALL",$E19)),ISNUMBER(SEARCH("FIN",$E19))),1,0)</f>
        <v>1</v>
      </c>
      <c r="AA19" s="15" t="n">
        <f aca="false">IF(OR(ISNUMBER(SEARCH("ALL",$E19)),ISNUMBER(SEARCH("AGI",$E19))),1,0)</f>
        <v>1</v>
      </c>
    </row>
    <row r="20" customFormat="false" ht="147" hidden="false" customHeight="false" outlineLevel="0" collapsed="false">
      <c r="A20" s="15" t="s">
        <v>226</v>
      </c>
      <c r="B20" s="10" t="s">
        <v>227</v>
      </c>
      <c r="C20" s="15" t="s">
        <v>202</v>
      </c>
      <c r="D20" s="15" t="s">
        <v>141</v>
      </c>
      <c r="E20" s="15" t="s">
        <v>203</v>
      </c>
      <c r="F20" s="15"/>
      <c r="G20" s="15" t="s">
        <v>154</v>
      </c>
      <c r="H20" s="15"/>
      <c r="M20" s="16" t="s">
        <v>228</v>
      </c>
      <c r="N20" s="16" t="s">
        <v>229</v>
      </c>
      <c r="O20" s="16" t="s">
        <v>230</v>
      </c>
      <c r="P20" s="11" t="s">
        <v>96</v>
      </c>
      <c r="Q20" s="11" t="n">
        <v>2026</v>
      </c>
      <c r="R20" s="11" t="n">
        <v>1</v>
      </c>
      <c r="S20" s="15" t="str">
        <f aca="false">IF($M20="","",IF(ISNUMBER($M20),"Measured",IF(ISNUMBER(SEARCH("DATA GAP",UPPER($M20))),"Gap",IF(AND($N20&lt;&gt;"",$P20&lt;&gt;"T5"),"Documented","Judged"))))</f>
        <v>Documented</v>
      </c>
      <c r="T20" s="15" t="n">
        <f aca="false">IF($AC20&lt;&gt;"","",IF(OR($S20="",$S20="Gap"),"",IF($S20="Measured",1+IF($H20="H",IF($M20&gt;=$I20,1,0)+IF($M20&gt;=$J20,1,0)+IF($M20&gt;=$K20,1,0)+IF($M20&gt;=$L20,1,0),IF($M20&lt;=$I20,1,0)+IF($M20&lt;=$J20,1,0)+IF($M20&lt;=$K20,1,0)+IF($M20&lt;=$L20,1,0)),IF($R20&lt;&gt;"",$R20,""))))</f>
        <v>1</v>
      </c>
      <c r="U20" s="15" t="str">
        <f aca="false">IF(OR($S20="",$S20="Gap",$Q20=""),"",IF($Q20&lt;Config!$C$2-Config!$C$3,"STALE",""))</f>
        <v/>
      </c>
      <c r="V20" s="15" t="n">
        <f aca="false">IF(OR(ISNUMBER(SEARCH("ALL",$E20)),ISNUMBER(SEARCH("ADV",$E20))),1,0)</f>
        <v>1</v>
      </c>
      <c r="W20" s="15" t="n">
        <f aca="false">IF(OR(ISNUMBER(SEARCH("ALL",$E20)),ISNUMBER(SEARCH("SMF",$E20))),1,0)</f>
        <v>1</v>
      </c>
      <c r="X20" s="15" t="n">
        <f aca="false">IF(OR(ISNUMBER(SEARCH("ALL",$E20)),ISNUMBER(SEARCH("MKT",$E20))),1,0)</f>
        <v>1</v>
      </c>
      <c r="Y20" s="15" t="n">
        <f aca="false">IF(OR(ISNUMBER(SEARCH("ALL",$E20)),ISNUMBER(SEARCH("SCM",$E20))),1,0)</f>
        <v>1</v>
      </c>
      <c r="Z20" s="15" t="n">
        <f aca="false">IF(OR(ISNUMBER(SEARCH("ALL",$E20)),ISNUMBER(SEARCH("FIN",$E20))),1,0)</f>
        <v>1</v>
      </c>
      <c r="AA20" s="15" t="n">
        <f aca="false">IF(OR(ISNUMBER(SEARCH("ALL",$E20)),ISNUMBER(SEARCH("AGI",$E20))),1,0)</f>
        <v>1</v>
      </c>
      <c r="AB20" s="17" t="s">
        <v>231</v>
      </c>
    </row>
    <row r="21" customFormat="false" ht="35.05" hidden="false" customHeight="false" outlineLevel="0" collapsed="false">
      <c r="A21" s="15" t="s">
        <v>232</v>
      </c>
      <c r="B21" s="10" t="s">
        <v>233</v>
      </c>
      <c r="C21" s="15" t="s">
        <v>234</v>
      </c>
      <c r="D21" s="15" t="s">
        <v>235</v>
      </c>
      <c r="E21" s="15" t="s">
        <v>236</v>
      </c>
      <c r="F21" s="15"/>
      <c r="G21" s="15" t="s">
        <v>143</v>
      </c>
      <c r="H21" s="15" t="s">
        <v>144</v>
      </c>
      <c r="I21" s="15" t="n">
        <v>0.2</v>
      </c>
      <c r="J21" s="15" t="n">
        <v>0.4</v>
      </c>
      <c r="K21" s="15" t="n">
        <v>0.6</v>
      </c>
      <c r="L21" s="15" t="n">
        <v>0.8</v>
      </c>
      <c r="M21" s="16" t="n">
        <v>0.6699</v>
      </c>
      <c r="N21" s="16" t="s">
        <v>237</v>
      </c>
      <c r="O21" s="16" t="s">
        <v>238</v>
      </c>
      <c r="P21" s="11" t="s">
        <v>88</v>
      </c>
      <c r="Q21" s="11" t="n">
        <v>2024</v>
      </c>
      <c r="R21" s="11"/>
      <c r="S21" s="15" t="str">
        <f aca="false">IF($M21="","",IF(ISNUMBER($M21),"Measured",IF(ISNUMBER(SEARCH("DATA GAP",UPPER($M21))),"Gap",IF(AND($N21&lt;&gt;"",$P21&lt;&gt;"T5"),"Documented","Judged"))))</f>
        <v>Measured</v>
      </c>
      <c r="T21" s="15" t="n">
        <f aca="false">IF($AC21&lt;&gt;"","",IF(OR($S21="",$S21="Gap"),"",IF($S21="Measured",1+IF($H21="H",IF($M21&gt;=$I21,1,0)+IF($M21&gt;=$J21,1,0)+IF($M21&gt;=$K21,1,0)+IF($M21&gt;=$L21,1,0),IF($M21&lt;=$I21,1,0)+IF($M21&lt;=$J21,1,0)+IF($M21&lt;=$K21,1,0)+IF($M21&lt;=$L21,1,0)),IF($R21&lt;&gt;"",$R21,""))))</f>
        <v>4</v>
      </c>
      <c r="U21" s="15" t="str">
        <f aca="false">IF(OR($S21="",$S21="Gap",$Q21=""),"",IF($Q21&lt;Config!$C$2-Config!$C$3,"STALE",""))</f>
        <v/>
      </c>
      <c r="V21" s="15" t="n">
        <f aca="false">IF(OR(ISNUMBER(SEARCH("ALL",$E21)),ISNUMBER(SEARCH("ADV",$E21))),1,0)</f>
        <v>1</v>
      </c>
      <c r="W21" s="15" t="n">
        <f aca="false">IF(OR(ISNUMBER(SEARCH("ALL",$E21)),ISNUMBER(SEARCH("SMF",$E21))),1,0)</f>
        <v>1</v>
      </c>
      <c r="X21" s="15" t="n">
        <f aca="false">IF(OR(ISNUMBER(SEARCH("ALL",$E21)),ISNUMBER(SEARCH("MKT",$E21))),1,0)</f>
        <v>1</v>
      </c>
      <c r="Y21" s="15" t="n">
        <f aca="false">IF(OR(ISNUMBER(SEARCH("ALL",$E21)),ISNUMBER(SEARCH("SCM",$E21))),1,0)</f>
        <v>1</v>
      </c>
      <c r="Z21" s="15" t="n">
        <f aca="false">IF(OR(ISNUMBER(SEARCH("ALL",$E21)),ISNUMBER(SEARCH("FIN",$E21))),1,0)</f>
        <v>1</v>
      </c>
      <c r="AA21" s="15" t="n">
        <f aca="false">IF(OR(ISNUMBER(SEARCH("ALL",$E21)),ISNUMBER(SEARCH("AGI",$E21))),1,0)</f>
        <v>1</v>
      </c>
    </row>
    <row r="22" customFormat="false" ht="348.5" hidden="false" customHeight="false" outlineLevel="0" collapsed="false">
      <c r="A22" s="15" t="s">
        <v>239</v>
      </c>
      <c r="B22" s="10" t="s">
        <v>240</v>
      </c>
      <c r="C22" s="15" t="s">
        <v>234</v>
      </c>
      <c r="D22" s="15" t="s">
        <v>235</v>
      </c>
      <c r="E22" s="15" t="s">
        <v>241</v>
      </c>
      <c r="F22" s="15" t="s">
        <v>242</v>
      </c>
      <c r="G22" s="15" t="s">
        <v>154</v>
      </c>
      <c r="H22" s="15"/>
      <c r="M22" s="16" t="s">
        <v>243</v>
      </c>
      <c r="N22" s="16" t="s">
        <v>244</v>
      </c>
      <c r="O22" s="16" t="s">
        <v>245</v>
      </c>
      <c r="P22" s="11" t="s">
        <v>96</v>
      </c>
      <c r="Q22" s="11" t="n">
        <v>2026</v>
      </c>
      <c r="R22" s="11" t="n">
        <v>4</v>
      </c>
      <c r="S22" s="15" t="str">
        <f aca="false">IF($M22="","",IF(ISNUMBER($M22),"Measured",IF(ISNUMBER(SEARCH("DATA GAP",UPPER($M22))),"Gap",IF(AND($N22&lt;&gt;"",$P22&lt;&gt;"T5"),"Documented","Judged"))))</f>
        <v>Documented</v>
      </c>
      <c r="T22" s="15" t="n">
        <f aca="false">IF($AC22&lt;&gt;"","",IF(OR($S22="",$S22="Gap"),"",IF($S22="Measured",1+IF($H22="H",IF($M22&gt;=$I22,1,0)+IF($M22&gt;=$J22,1,0)+IF($M22&gt;=$K22,1,0)+IF($M22&gt;=$L22,1,0),IF($M22&lt;=$I22,1,0)+IF($M22&lt;=$J22,1,0)+IF($M22&lt;=$K22,1,0)+IF($M22&lt;=$L22,1,0)),IF($R22&lt;&gt;"",$R22,""))))</f>
        <v>4</v>
      </c>
      <c r="U22" s="15" t="str">
        <f aca="false">IF(OR($S22="",$S22="Gap",$Q22=""),"",IF($Q22&lt;Config!$C$2-Config!$C$3,"STALE",""))</f>
        <v/>
      </c>
      <c r="V22" s="15" t="n">
        <f aca="false">IF(OR(ISNUMBER(SEARCH("ALL",$E22)),ISNUMBER(SEARCH("ADV",$E22))),1,0)</f>
        <v>1</v>
      </c>
      <c r="W22" s="15" t="n">
        <f aca="false">IF(OR(ISNUMBER(SEARCH("ALL",$E22)),ISNUMBER(SEARCH("SMF",$E22))),1,0)</f>
        <v>0</v>
      </c>
      <c r="X22" s="15" t="n">
        <f aca="false">IF(OR(ISNUMBER(SEARCH("ALL",$E22)),ISNUMBER(SEARCH("MKT",$E22))),1,0)</f>
        <v>0</v>
      </c>
      <c r="Y22" s="15" t="n">
        <f aca="false">IF(OR(ISNUMBER(SEARCH("ALL",$E22)),ISNUMBER(SEARCH("SCM",$E22))),1,0)</f>
        <v>0</v>
      </c>
      <c r="Z22" s="15" t="n">
        <f aca="false">IF(OR(ISNUMBER(SEARCH("ALL",$E22)),ISNUMBER(SEARCH("FIN",$E22))),1,0)</f>
        <v>1</v>
      </c>
      <c r="AA22" s="15" t="n">
        <f aca="false">IF(OR(ISNUMBER(SEARCH("ALL",$E22)),ISNUMBER(SEARCH("AGI",$E22))),1,0)</f>
        <v>1</v>
      </c>
      <c r="AB22" s="17" t="s">
        <v>246</v>
      </c>
    </row>
    <row r="23" customFormat="false" ht="57.45" hidden="false" customHeight="false" outlineLevel="0" collapsed="false">
      <c r="A23" s="15" t="s">
        <v>247</v>
      </c>
      <c r="B23" s="10" t="s">
        <v>248</v>
      </c>
      <c r="C23" s="15" t="s">
        <v>234</v>
      </c>
      <c r="D23" s="15" t="s">
        <v>235</v>
      </c>
      <c r="E23" s="15" t="s">
        <v>249</v>
      </c>
      <c r="F23" s="15"/>
      <c r="G23" s="15" t="s">
        <v>154</v>
      </c>
      <c r="H23" s="15"/>
      <c r="M23" s="16" t="s">
        <v>250</v>
      </c>
      <c r="N23" s="16" t="s">
        <v>251</v>
      </c>
      <c r="O23" s="16" t="s">
        <v>252</v>
      </c>
      <c r="P23" s="11" t="s">
        <v>96</v>
      </c>
      <c r="Q23" s="11" t="n">
        <v>2025</v>
      </c>
      <c r="R23" s="11" t="n">
        <v>3</v>
      </c>
      <c r="S23" s="15" t="str">
        <f aca="false">IF($M23="","",IF(ISNUMBER($M23),"Measured",IF(ISNUMBER(SEARCH("DATA GAP",UPPER($M23))),"Gap",IF(AND($N23&lt;&gt;"",$P23&lt;&gt;"T5"),"Documented","Judged"))))</f>
        <v>Documented</v>
      </c>
      <c r="T23" s="15" t="n">
        <f aca="false">IF($AC23&lt;&gt;"","",IF(OR($S23="",$S23="Gap"),"",IF($S23="Measured",1+IF($H23="H",IF($M23&gt;=$I23,1,0)+IF($M23&gt;=$J23,1,0)+IF($M23&gt;=$K23,1,0)+IF($M23&gt;=$L23,1,0),IF($M23&lt;=$I23,1,0)+IF($M23&lt;=$J23,1,0)+IF($M23&lt;=$K23,1,0)+IF($M23&lt;=$L23,1,0)),IF($R23&lt;&gt;"",$R23,""))))</f>
        <v>3</v>
      </c>
      <c r="U23" s="15" t="str">
        <f aca="false">IF(OR($S23="",$S23="Gap",$Q23=""),"",IF($Q23&lt;Config!$C$2-Config!$C$3,"STALE",""))</f>
        <v/>
      </c>
      <c r="V23" s="15" t="n">
        <f aca="false">IF(OR(ISNUMBER(SEARCH("ALL",$E23)),ISNUMBER(SEARCH("ADV",$E23))),1,0)</f>
        <v>0</v>
      </c>
      <c r="W23" s="15" t="n">
        <f aca="false">IF(OR(ISNUMBER(SEARCH("ALL",$E23)),ISNUMBER(SEARCH("SMF",$E23))),1,0)</f>
        <v>0</v>
      </c>
      <c r="X23" s="15" t="n">
        <f aca="false">IF(OR(ISNUMBER(SEARCH("ALL",$E23)),ISNUMBER(SEARCH("MKT",$E23))),1,0)</f>
        <v>0</v>
      </c>
      <c r="Y23" s="15" t="n">
        <f aca="false">IF(OR(ISNUMBER(SEARCH("ALL",$E23)),ISNUMBER(SEARCH("SCM",$E23))),1,0)</f>
        <v>0</v>
      </c>
      <c r="Z23" s="15" t="n">
        <f aca="false">IF(OR(ISNUMBER(SEARCH("ALL",$E23)),ISNUMBER(SEARCH("FIN",$E23))),1,0)</f>
        <v>1</v>
      </c>
      <c r="AA23" s="15" t="n">
        <f aca="false">IF(OR(ISNUMBER(SEARCH("ALL",$E23)),ISNUMBER(SEARCH("AGI",$E23))),1,0)</f>
        <v>1</v>
      </c>
      <c r="AB23" s="17" t="s">
        <v>253</v>
      </c>
    </row>
    <row r="24" customFormat="false" ht="46.25" hidden="false" customHeight="false" outlineLevel="0" collapsed="false">
      <c r="A24" s="15" t="s">
        <v>254</v>
      </c>
      <c r="B24" s="10" t="s">
        <v>255</v>
      </c>
      <c r="C24" s="15" t="s">
        <v>234</v>
      </c>
      <c r="D24" s="15" t="s">
        <v>235</v>
      </c>
      <c r="E24" s="15" t="s">
        <v>256</v>
      </c>
      <c r="F24" s="15"/>
      <c r="G24" s="15" t="s">
        <v>154</v>
      </c>
      <c r="H24" s="15"/>
      <c r="M24" s="16" t="s">
        <v>257</v>
      </c>
      <c r="N24" s="16" t="s">
        <v>258</v>
      </c>
      <c r="O24" s="16" t="s">
        <v>259</v>
      </c>
      <c r="P24" s="11" t="s">
        <v>96</v>
      </c>
      <c r="Q24" s="11" t="n">
        <v>2025</v>
      </c>
      <c r="R24" s="11" t="n">
        <v>2</v>
      </c>
      <c r="S24" s="15" t="str">
        <f aca="false">IF($M24="","",IF(ISNUMBER($M24),"Measured",IF(ISNUMBER(SEARCH("DATA GAP",UPPER($M24))),"Gap",IF(AND($N24&lt;&gt;"",$P24&lt;&gt;"T5"),"Documented","Judged"))))</f>
        <v>Documented</v>
      </c>
      <c r="T24" s="15" t="n">
        <f aca="false">IF($AC24&lt;&gt;"","",IF(OR($S24="",$S24="Gap"),"",IF($S24="Measured",1+IF($H24="H",IF($M24&gt;=$I24,1,0)+IF($M24&gt;=$J24,1,0)+IF($M24&gt;=$K24,1,0)+IF($M24&gt;=$L24,1,0),IF($M24&lt;=$I24,1,0)+IF($M24&lt;=$J24,1,0)+IF($M24&lt;=$K24,1,0)+IF($M24&lt;=$L24,1,0)),IF($R24&lt;&gt;"",$R24,""))))</f>
        <v>2</v>
      </c>
      <c r="U24" s="15" t="str">
        <f aca="false">IF(OR($S24="",$S24="Gap",$Q24=""),"",IF($Q24&lt;Config!$C$2-Config!$C$3,"STALE",""))</f>
        <v/>
      </c>
      <c r="V24" s="15" t="n">
        <f aca="false">IF(OR(ISNUMBER(SEARCH("ALL",$E24)),ISNUMBER(SEARCH("ADV",$E24))),1,0)</f>
        <v>1</v>
      </c>
      <c r="W24" s="15" t="n">
        <f aca="false">IF(OR(ISNUMBER(SEARCH("ALL",$E24)),ISNUMBER(SEARCH("SMF",$E24))),1,0)</f>
        <v>1</v>
      </c>
      <c r="X24" s="15" t="n">
        <f aca="false">IF(OR(ISNUMBER(SEARCH("ALL",$E24)),ISNUMBER(SEARCH("MKT",$E24))),1,0)</f>
        <v>0</v>
      </c>
      <c r="Y24" s="15" t="n">
        <f aca="false">IF(OR(ISNUMBER(SEARCH("ALL",$E24)),ISNUMBER(SEARCH("SCM",$E24))),1,0)</f>
        <v>0</v>
      </c>
      <c r="Z24" s="15" t="n">
        <f aca="false">IF(OR(ISNUMBER(SEARCH("ALL",$E24)),ISNUMBER(SEARCH("FIN",$E24))),1,0)</f>
        <v>0</v>
      </c>
      <c r="AA24" s="15" t="n">
        <f aca="false">IF(OR(ISNUMBER(SEARCH("ALL",$E24)),ISNUMBER(SEARCH("AGI",$E24))),1,0)</f>
        <v>1</v>
      </c>
      <c r="AB24" s="17" t="s">
        <v>260</v>
      </c>
    </row>
    <row r="25" customFormat="false" ht="404.45" hidden="false" customHeight="false" outlineLevel="0" collapsed="false">
      <c r="A25" s="15" t="s">
        <v>261</v>
      </c>
      <c r="B25" s="10" t="s">
        <v>262</v>
      </c>
      <c r="C25" s="15" t="s">
        <v>234</v>
      </c>
      <c r="D25" s="15" t="s">
        <v>235</v>
      </c>
      <c r="E25" s="15" t="s">
        <v>263</v>
      </c>
      <c r="F25" s="15"/>
      <c r="G25" s="15" t="s">
        <v>154</v>
      </c>
      <c r="H25" s="15"/>
      <c r="M25" s="16" t="s">
        <v>264</v>
      </c>
      <c r="N25" s="16" t="s">
        <v>265</v>
      </c>
      <c r="O25" s="16" t="s">
        <v>266</v>
      </c>
      <c r="P25" s="11" t="s">
        <v>96</v>
      </c>
      <c r="Q25" s="11" t="n">
        <v>2026</v>
      </c>
      <c r="R25" s="11" t="n">
        <v>4</v>
      </c>
      <c r="S25" s="15" t="str">
        <f aca="false">IF($M25="","",IF(ISNUMBER($M25),"Measured",IF(ISNUMBER(SEARCH("DATA GAP",UPPER($M25))),"Gap",IF(AND($N25&lt;&gt;"",$P25&lt;&gt;"T5"),"Documented","Judged"))))</f>
        <v>Documented</v>
      </c>
      <c r="T25" s="15" t="n">
        <f aca="false">IF($AC25&lt;&gt;"","",IF(OR($S25="",$S25="Gap"),"",IF($S25="Measured",1+IF($H25="H",IF($M25&gt;=$I25,1,0)+IF($M25&gt;=$J25,1,0)+IF($M25&gt;=$K25,1,0)+IF($M25&gt;=$L25,1,0),IF($M25&lt;=$I25,1,0)+IF($M25&lt;=$J25,1,0)+IF($M25&lt;=$K25,1,0)+IF($M25&lt;=$L25,1,0)),IF($R25&lt;&gt;"",$R25,""))))</f>
        <v>4</v>
      </c>
      <c r="U25" s="15" t="str">
        <f aca="false">IF(OR($S25="",$S25="Gap",$Q25=""),"",IF($Q25&lt;Config!$C$2-Config!$C$3,"STALE",""))</f>
        <v/>
      </c>
      <c r="V25" s="15" t="n">
        <f aca="false">IF(OR(ISNUMBER(SEARCH("ALL",$E25)),ISNUMBER(SEARCH("ADV",$E25))),1,0)</f>
        <v>1</v>
      </c>
      <c r="W25" s="15" t="n">
        <f aca="false">IF(OR(ISNUMBER(SEARCH("ALL",$E25)),ISNUMBER(SEARCH("SMF",$E25))),1,0)</f>
        <v>1</v>
      </c>
      <c r="X25" s="15" t="n">
        <f aca="false">IF(OR(ISNUMBER(SEARCH("ALL",$E25)),ISNUMBER(SEARCH("MKT",$E25))),1,0)</f>
        <v>0</v>
      </c>
      <c r="Y25" s="15" t="n">
        <f aca="false">IF(OR(ISNUMBER(SEARCH("ALL",$E25)),ISNUMBER(SEARCH("SCM",$E25))),1,0)</f>
        <v>0</v>
      </c>
      <c r="Z25" s="15" t="n">
        <f aca="false">IF(OR(ISNUMBER(SEARCH("ALL",$E25)),ISNUMBER(SEARCH("FIN",$E25))),1,0)</f>
        <v>0</v>
      </c>
      <c r="AA25" s="15" t="n">
        <f aca="false">IF(OR(ISNUMBER(SEARCH("ALL",$E25)),ISNUMBER(SEARCH("AGI",$E25))),1,0)</f>
        <v>1</v>
      </c>
      <c r="AB25" s="17" t="s">
        <v>267</v>
      </c>
    </row>
    <row r="26" customFormat="false" ht="79.85" hidden="false" customHeight="false" outlineLevel="0" collapsed="false">
      <c r="A26" s="15" t="s">
        <v>268</v>
      </c>
      <c r="B26" s="10" t="s">
        <v>269</v>
      </c>
      <c r="C26" s="15" t="s">
        <v>234</v>
      </c>
      <c r="D26" s="15" t="s">
        <v>235</v>
      </c>
      <c r="E26" s="15" t="s">
        <v>270</v>
      </c>
      <c r="F26" s="15"/>
      <c r="G26" s="15" t="s">
        <v>154</v>
      </c>
      <c r="H26" s="15"/>
      <c r="M26" s="16" t="s">
        <v>271</v>
      </c>
      <c r="N26" s="16" t="s">
        <v>272</v>
      </c>
      <c r="O26" s="16" t="s">
        <v>273</v>
      </c>
      <c r="P26" s="11" t="s">
        <v>96</v>
      </c>
      <c r="Q26" s="11" t="n">
        <v>2024</v>
      </c>
      <c r="R26" s="11" t="n">
        <v>4</v>
      </c>
      <c r="S26" s="15" t="str">
        <f aca="false">IF($M26="","",IF(ISNUMBER($M26),"Measured",IF(ISNUMBER(SEARCH("DATA GAP",UPPER($M26))),"Gap",IF(AND($N26&lt;&gt;"",$P26&lt;&gt;"T5"),"Documented","Judged"))))</f>
        <v>Documented</v>
      </c>
      <c r="T26" s="15" t="n">
        <f aca="false">IF($AC26&lt;&gt;"","",IF(OR($S26="",$S26="Gap"),"",IF($S26="Measured",1+IF($H26="H",IF($M26&gt;=$I26,1,0)+IF($M26&gt;=$J26,1,0)+IF($M26&gt;=$K26,1,0)+IF($M26&gt;=$L26,1,0),IF($M26&lt;=$I26,1,0)+IF($M26&lt;=$J26,1,0)+IF($M26&lt;=$K26,1,0)+IF($M26&lt;=$L26,1,0)),IF($R26&lt;&gt;"",$R26,""))))</f>
        <v>4</v>
      </c>
      <c r="U26" s="15" t="str">
        <f aca="false">IF(OR($S26="",$S26="Gap",$Q26=""),"",IF($Q26&lt;Config!$C$2-Config!$C$3,"STALE",""))</f>
        <v/>
      </c>
      <c r="V26" s="15" t="n">
        <f aca="false">IF(OR(ISNUMBER(SEARCH("ALL",$E26)),ISNUMBER(SEARCH("ADV",$E26))),1,0)</f>
        <v>0</v>
      </c>
      <c r="W26" s="15" t="n">
        <f aca="false">IF(OR(ISNUMBER(SEARCH("ALL",$E26)),ISNUMBER(SEARCH("SMF",$E26))),1,0)</f>
        <v>1</v>
      </c>
      <c r="X26" s="15" t="n">
        <f aca="false">IF(OR(ISNUMBER(SEARCH("ALL",$E26)),ISNUMBER(SEARCH("MKT",$E26))),1,0)</f>
        <v>0</v>
      </c>
      <c r="Y26" s="15" t="n">
        <f aca="false">IF(OR(ISNUMBER(SEARCH("ALL",$E26)),ISNUMBER(SEARCH("SCM",$E26))),1,0)</f>
        <v>0</v>
      </c>
      <c r="Z26" s="15" t="n">
        <f aca="false">IF(OR(ISNUMBER(SEARCH("ALL",$E26)),ISNUMBER(SEARCH("FIN",$E26))),1,0)</f>
        <v>0</v>
      </c>
      <c r="AA26" s="15" t="n">
        <f aca="false">IF(OR(ISNUMBER(SEARCH("ALL",$E26)),ISNUMBER(SEARCH("AGI",$E26))),1,0)</f>
        <v>1</v>
      </c>
      <c r="AB26" s="17" t="s">
        <v>274</v>
      </c>
    </row>
    <row r="27" customFormat="false" ht="46.25" hidden="false" customHeight="false" outlineLevel="0" collapsed="false">
      <c r="A27" s="15" t="s">
        <v>275</v>
      </c>
      <c r="B27" s="10" t="s">
        <v>276</v>
      </c>
      <c r="C27" s="15" t="s">
        <v>234</v>
      </c>
      <c r="D27" s="15" t="s">
        <v>235</v>
      </c>
      <c r="E27" s="15" t="s">
        <v>277</v>
      </c>
      <c r="F27" s="15"/>
      <c r="G27" s="15" t="s">
        <v>154</v>
      </c>
      <c r="H27" s="15"/>
      <c r="M27" s="16" t="s">
        <v>278</v>
      </c>
      <c r="N27" s="16" t="s">
        <v>279</v>
      </c>
      <c r="O27" s="16" t="s">
        <v>280</v>
      </c>
      <c r="P27" s="11" t="s">
        <v>88</v>
      </c>
      <c r="Q27" s="11" t="n">
        <v>2026</v>
      </c>
      <c r="R27" s="11" t="n">
        <v>1</v>
      </c>
      <c r="S27" s="15" t="str">
        <f aca="false">IF($M27="","",IF(ISNUMBER($M27),"Measured",IF(ISNUMBER(SEARCH("DATA GAP",UPPER($M27))),"Gap",IF(AND($N27&lt;&gt;"",$P27&lt;&gt;"T5"),"Documented","Judged"))))</f>
        <v>Documented</v>
      </c>
      <c r="T27" s="15" t="n">
        <f aca="false">IF($AC27&lt;&gt;"","",IF(OR($S27="",$S27="Gap"),"",IF($S27="Measured",1+IF($H27="H",IF($M27&gt;=$I27,1,0)+IF($M27&gt;=$J27,1,0)+IF($M27&gt;=$K27,1,0)+IF($M27&gt;=$L27,1,0),IF($M27&lt;=$I27,1,0)+IF($M27&lt;=$J27,1,0)+IF($M27&lt;=$K27,1,0)+IF($M27&lt;=$L27,1,0)),IF($R27&lt;&gt;"",$R27,""))))</f>
        <v>1</v>
      </c>
      <c r="U27" s="15" t="str">
        <f aca="false">IF(OR($S27="",$S27="Gap",$Q27=""),"",IF($Q27&lt;Config!$C$2-Config!$C$3,"STALE",""))</f>
        <v/>
      </c>
      <c r="V27" s="15" t="n">
        <f aca="false">IF(OR(ISNUMBER(SEARCH("ALL",$E27)),ISNUMBER(SEARCH("ADV",$E27))),1,0)</f>
        <v>1</v>
      </c>
      <c r="W27" s="15" t="n">
        <f aca="false">IF(OR(ISNUMBER(SEARCH("ALL",$E27)),ISNUMBER(SEARCH("SMF",$E27))),1,0)</f>
        <v>1</v>
      </c>
      <c r="X27" s="15" t="n">
        <f aca="false">IF(OR(ISNUMBER(SEARCH("ALL",$E27)),ISNUMBER(SEARCH("MKT",$E27))),1,0)</f>
        <v>0</v>
      </c>
      <c r="Y27" s="15" t="n">
        <f aca="false">IF(OR(ISNUMBER(SEARCH("ALL",$E27)),ISNUMBER(SEARCH("SCM",$E27))),1,0)</f>
        <v>0</v>
      </c>
      <c r="Z27" s="15" t="n">
        <f aca="false">IF(OR(ISNUMBER(SEARCH("ALL",$E27)),ISNUMBER(SEARCH("FIN",$E27))),1,0)</f>
        <v>0</v>
      </c>
      <c r="AA27" s="15" t="n">
        <f aca="false">IF(OR(ISNUMBER(SEARCH("ALL",$E27)),ISNUMBER(SEARCH("AGI",$E27))),1,0)</f>
        <v>0</v>
      </c>
      <c r="AB27" s="17" t="s">
        <v>281</v>
      </c>
    </row>
    <row r="28" customFormat="false" ht="57.45" hidden="false" customHeight="false" outlineLevel="0" collapsed="false">
      <c r="A28" s="15" t="s">
        <v>282</v>
      </c>
      <c r="B28" s="10" t="s">
        <v>283</v>
      </c>
      <c r="C28" s="15" t="s">
        <v>234</v>
      </c>
      <c r="D28" s="15" t="s">
        <v>235</v>
      </c>
      <c r="E28" s="15" t="s">
        <v>236</v>
      </c>
      <c r="F28" s="15" t="s">
        <v>284</v>
      </c>
      <c r="G28" s="15" t="s">
        <v>154</v>
      </c>
      <c r="H28" s="15"/>
      <c r="M28" s="16" t="s">
        <v>285</v>
      </c>
      <c r="N28" s="16" t="s">
        <v>286</v>
      </c>
      <c r="O28" s="16" t="s">
        <v>259</v>
      </c>
      <c r="P28" s="11" t="s">
        <v>96</v>
      </c>
      <c r="Q28" s="11" t="n">
        <v>2026</v>
      </c>
      <c r="R28" s="11" t="n">
        <v>1</v>
      </c>
      <c r="S28" s="15" t="str">
        <f aca="false">IF($M28="","",IF(ISNUMBER($M28),"Measured",IF(ISNUMBER(SEARCH("DATA GAP",UPPER($M28))),"Gap",IF(AND($N28&lt;&gt;"",$P28&lt;&gt;"T5"),"Documented","Judged"))))</f>
        <v>Documented</v>
      </c>
      <c r="T28" s="15" t="n">
        <f aca="false">IF($AC28&lt;&gt;"","",IF(OR($S28="",$S28="Gap"),"",IF($S28="Measured",1+IF($H28="H",IF($M28&gt;=$I28,1,0)+IF($M28&gt;=$J28,1,0)+IF($M28&gt;=$K28,1,0)+IF($M28&gt;=$L28,1,0),IF($M28&lt;=$I28,1,0)+IF($M28&lt;=$J28,1,0)+IF($M28&lt;=$K28,1,0)+IF($M28&lt;=$L28,1,0)),IF($R28&lt;&gt;"",$R28,""))))</f>
        <v>1</v>
      </c>
      <c r="U28" s="15" t="str">
        <f aca="false">IF(OR($S28="",$S28="Gap",$Q28=""),"",IF($Q28&lt;Config!$C$2-Config!$C$3,"STALE",""))</f>
        <v/>
      </c>
      <c r="V28" s="15" t="n">
        <f aca="false">IF(OR(ISNUMBER(SEARCH("ALL",$E28)),ISNUMBER(SEARCH("ADV",$E28))),1,0)</f>
        <v>1</v>
      </c>
      <c r="W28" s="15" t="n">
        <f aca="false">IF(OR(ISNUMBER(SEARCH("ALL",$E28)),ISNUMBER(SEARCH("SMF",$E28))),1,0)</f>
        <v>1</v>
      </c>
      <c r="X28" s="15" t="n">
        <f aca="false">IF(OR(ISNUMBER(SEARCH("ALL",$E28)),ISNUMBER(SEARCH("MKT",$E28))),1,0)</f>
        <v>1</v>
      </c>
      <c r="Y28" s="15" t="n">
        <f aca="false">IF(OR(ISNUMBER(SEARCH("ALL",$E28)),ISNUMBER(SEARCH("SCM",$E28))),1,0)</f>
        <v>1</v>
      </c>
      <c r="Z28" s="15" t="n">
        <f aca="false">IF(OR(ISNUMBER(SEARCH("ALL",$E28)),ISNUMBER(SEARCH("FIN",$E28))),1,0)</f>
        <v>1</v>
      </c>
      <c r="AA28" s="15" t="n">
        <f aca="false">IF(OR(ISNUMBER(SEARCH("ALL",$E28)),ISNUMBER(SEARCH("AGI",$E28))),1,0)</f>
        <v>1</v>
      </c>
      <c r="AB28" s="17" t="s">
        <v>287</v>
      </c>
    </row>
    <row r="29" customFormat="false" ht="57.45" hidden="false" customHeight="false" outlineLevel="0" collapsed="false">
      <c r="A29" s="15" t="s">
        <v>288</v>
      </c>
      <c r="B29" s="10" t="s">
        <v>289</v>
      </c>
      <c r="C29" s="15" t="s">
        <v>290</v>
      </c>
      <c r="D29" s="15" t="s">
        <v>235</v>
      </c>
      <c r="E29" s="15" t="s">
        <v>203</v>
      </c>
      <c r="F29" s="15" t="s">
        <v>204</v>
      </c>
      <c r="G29" s="15" t="s">
        <v>154</v>
      </c>
      <c r="H29" s="15"/>
      <c r="M29" s="16" t="s">
        <v>291</v>
      </c>
      <c r="N29" s="16" t="s">
        <v>292</v>
      </c>
      <c r="O29" s="16" t="s">
        <v>293</v>
      </c>
      <c r="P29" s="11" t="s">
        <v>100</v>
      </c>
      <c r="Q29" s="11" t="n">
        <v>2025</v>
      </c>
      <c r="R29" s="11" t="n">
        <v>3</v>
      </c>
      <c r="S29" s="15" t="str">
        <f aca="false">IF($M29="","",IF(ISNUMBER($M29),"Measured",IF(ISNUMBER(SEARCH("DATA GAP",UPPER($M29))),"Gap",IF(AND($N29&lt;&gt;"",$P29&lt;&gt;"T5"),"Documented","Judged"))))</f>
        <v>Documented</v>
      </c>
      <c r="T29" s="15" t="n">
        <f aca="false">IF($AC29&lt;&gt;"","",IF(OR($S29="",$S29="Gap"),"",IF($S29="Measured",1+IF($H29="H",IF($M29&gt;=$I29,1,0)+IF($M29&gt;=$J29,1,0)+IF($M29&gt;=$K29,1,0)+IF($M29&gt;=$L29,1,0),IF($M29&lt;=$I29,1,0)+IF($M29&lt;=$J29,1,0)+IF($M29&lt;=$K29,1,0)+IF($M29&lt;=$L29,1,0)),IF($R29&lt;&gt;"",$R29,""))))</f>
        <v>3</v>
      </c>
      <c r="U29" s="15" t="str">
        <f aca="false">IF(OR($S29="",$S29="Gap",$Q29=""),"",IF($Q29&lt;Config!$C$2-Config!$C$3,"STALE",""))</f>
        <v/>
      </c>
      <c r="V29" s="15" t="n">
        <f aca="false">IF(OR(ISNUMBER(SEARCH("ALL",$E29)),ISNUMBER(SEARCH("ADV",$E29))),1,0)</f>
        <v>1</v>
      </c>
      <c r="W29" s="15" t="n">
        <f aca="false">IF(OR(ISNUMBER(SEARCH("ALL",$E29)),ISNUMBER(SEARCH("SMF",$E29))),1,0)</f>
        <v>1</v>
      </c>
      <c r="X29" s="15" t="n">
        <f aca="false">IF(OR(ISNUMBER(SEARCH("ALL",$E29)),ISNUMBER(SEARCH("MKT",$E29))),1,0)</f>
        <v>1</v>
      </c>
      <c r="Y29" s="15" t="n">
        <f aca="false">IF(OR(ISNUMBER(SEARCH("ALL",$E29)),ISNUMBER(SEARCH("SCM",$E29))),1,0)</f>
        <v>1</v>
      </c>
      <c r="Z29" s="15" t="n">
        <f aca="false">IF(OR(ISNUMBER(SEARCH("ALL",$E29)),ISNUMBER(SEARCH("FIN",$E29))),1,0)</f>
        <v>1</v>
      </c>
      <c r="AA29" s="15" t="n">
        <f aca="false">IF(OR(ISNUMBER(SEARCH("ALL",$E29)),ISNUMBER(SEARCH("AGI",$E29))),1,0)</f>
        <v>1</v>
      </c>
    </row>
    <row r="30" customFormat="false" ht="46.25" hidden="false" customHeight="false" outlineLevel="0" collapsed="false">
      <c r="A30" s="15" t="s">
        <v>294</v>
      </c>
      <c r="B30" s="10" t="s">
        <v>295</v>
      </c>
      <c r="C30" s="15" t="s">
        <v>290</v>
      </c>
      <c r="D30" s="15" t="s">
        <v>235</v>
      </c>
      <c r="E30" s="15" t="s">
        <v>203</v>
      </c>
      <c r="F30" s="15"/>
      <c r="G30" s="15" t="s">
        <v>143</v>
      </c>
      <c r="H30" s="15" t="s">
        <v>144</v>
      </c>
      <c r="I30" s="15" t="n">
        <v>0.2</v>
      </c>
      <c r="J30" s="15" t="n">
        <v>0.4</v>
      </c>
      <c r="K30" s="15" t="n">
        <v>0.6</v>
      </c>
      <c r="L30" s="15" t="n">
        <v>0.8</v>
      </c>
      <c r="M30" s="16" t="n">
        <v>100</v>
      </c>
      <c r="N30" s="16" t="s">
        <v>296</v>
      </c>
      <c r="O30" s="16" t="s">
        <v>297</v>
      </c>
      <c r="P30" s="11" t="s">
        <v>88</v>
      </c>
      <c r="Q30" s="11" t="n">
        <v>2024</v>
      </c>
      <c r="R30" s="11"/>
      <c r="S30" s="15" t="str">
        <f aca="false">IF($M30="","",IF(ISNUMBER($M30),"Measured",IF(ISNUMBER(SEARCH("DATA GAP",UPPER($M30))),"Gap",IF(AND($N30&lt;&gt;"",$P30&lt;&gt;"T5"),"Documented","Judged"))))</f>
        <v>Measured</v>
      </c>
      <c r="T30" s="15" t="n">
        <f aca="false">IF($AC30&lt;&gt;"","",IF(OR($S30="",$S30="Gap"),"",IF($S30="Measured",1+IF($H30="H",IF($M30&gt;=$I30,1,0)+IF($M30&gt;=$J30,1,0)+IF($M30&gt;=$K30,1,0)+IF($M30&gt;=$L30,1,0),IF($M30&lt;=$I30,1,0)+IF($M30&lt;=$J30,1,0)+IF($M30&lt;=$K30,1,0)+IF($M30&lt;=$L30,1,0)),IF($R30&lt;&gt;"",$R30,""))))</f>
        <v>5</v>
      </c>
      <c r="U30" s="15" t="str">
        <f aca="false">IF(OR($S30="",$S30="Gap",$Q30=""),"",IF($Q30&lt;Config!$C$2-Config!$C$3,"STALE",""))</f>
        <v/>
      </c>
      <c r="V30" s="15" t="n">
        <f aca="false">IF(OR(ISNUMBER(SEARCH("ALL",$E30)),ISNUMBER(SEARCH("ADV",$E30))),1,0)</f>
        <v>1</v>
      </c>
      <c r="W30" s="15" t="n">
        <f aca="false">IF(OR(ISNUMBER(SEARCH("ALL",$E30)),ISNUMBER(SEARCH("SMF",$E30))),1,0)</f>
        <v>1</v>
      </c>
      <c r="X30" s="15" t="n">
        <f aca="false">IF(OR(ISNUMBER(SEARCH("ALL",$E30)),ISNUMBER(SEARCH("MKT",$E30))),1,0)</f>
        <v>1</v>
      </c>
      <c r="Y30" s="15" t="n">
        <f aca="false">IF(OR(ISNUMBER(SEARCH("ALL",$E30)),ISNUMBER(SEARCH("SCM",$E30))),1,0)</f>
        <v>1</v>
      </c>
      <c r="Z30" s="15" t="n">
        <f aca="false">IF(OR(ISNUMBER(SEARCH("ALL",$E30)),ISNUMBER(SEARCH("FIN",$E30))),1,0)</f>
        <v>1</v>
      </c>
      <c r="AA30" s="15" t="n">
        <f aca="false">IF(OR(ISNUMBER(SEARCH("ALL",$E30)),ISNUMBER(SEARCH("AGI",$E30))),1,0)</f>
        <v>1</v>
      </c>
      <c r="AB30" s="17" t="s">
        <v>298</v>
      </c>
    </row>
    <row r="31" customFormat="false" ht="57.45" hidden="false" customHeight="false" outlineLevel="0" collapsed="false">
      <c r="A31" s="15" t="s">
        <v>299</v>
      </c>
      <c r="B31" s="10" t="s">
        <v>300</v>
      </c>
      <c r="C31" s="15" t="s">
        <v>290</v>
      </c>
      <c r="D31" s="15" t="s">
        <v>235</v>
      </c>
      <c r="E31" s="15" t="s">
        <v>236</v>
      </c>
      <c r="F31" s="15"/>
      <c r="G31" s="15" t="s">
        <v>143</v>
      </c>
      <c r="H31" s="15" t="s">
        <v>144</v>
      </c>
      <c r="I31" s="15" t="n">
        <v>20</v>
      </c>
      <c r="J31" s="15" t="n">
        <v>40</v>
      </c>
      <c r="K31" s="15" t="n">
        <v>60</v>
      </c>
      <c r="L31" s="15" t="n">
        <v>80</v>
      </c>
      <c r="M31" s="16" t="n">
        <v>55.63</v>
      </c>
      <c r="N31" s="16" t="s">
        <v>301</v>
      </c>
      <c r="O31" s="16" t="s">
        <v>302</v>
      </c>
      <c r="P31" s="11" t="s">
        <v>100</v>
      </c>
      <c r="Q31" s="11" t="n">
        <v>2024</v>
      </c>
      <c r="R31" s="11"/>
      <c r="S31" s="15" t="str">
        <f aca="false">IF($M31="","",IF(ISNUMBER($M31),"Measured",IF(ISNUMBER(SEARCH("DATA GAP",UPPER($M31))),"Gap",IF(AND($N31&lt;&gt;"",$P31&lt;&gt;"T5"),"Documented","Judged"))))</f>
        <v>Measured</v>
      </c>
      <c r="T31" s="15" t="n">
        <f aca="false">IF($AC31&lt;&gt;"","",IF(OR($S31="",$S31="Gap"),"",IF($S31="Measured",1+IF($H31="H",IF($M31&gt;=$I31,1,0)+IF($M31&gt;=$J31,1,0)+IF($M31&gt;=$K31,1,0)+IF($M31&gt;=$L31,1,0),IF($M31&lt;=$I31,1,0)+IF($M31&lt;=$J31,1,0)+IF($M31&lt;=$K31,1,0)+IF($M31&lt;=$L31,1,0)),IF($R31&lt;&gt;"",$R31,""))))</f>
        <v>3</v>
      </c>
      <c r="U31" s="15" t="str">
        <f aca="false">IF(OR($S31="",$S31="Gap",$Q31=""),"",IF($Q31&lt;Config!$C$2-Config!$C$3,"STALE",""))</f>
        <v/>
      </c>
      <c r="V31" s="15" t="n">
        <f aca="false">IF(OR(ISNUMBER(SEARCH("ALL",$E31)),ISNUMBER(SEARCH("ADV",$E31))),1,0)</f>
        <v>1</v>
      </c>
      <c r="W31" s="15" t="n">
        <f aca="false">IF(OR(ISNUMBER(SEARCH("ALL",$E31)),ISNUMBER(SEARCH("SMF",$E31))),1,0)</f>
        <v>1</v>
      </c>
      <c r="X31" s="15" t="n">
        <f aca="false">IF(OR(ISNUMBER(SEARCH("ALL",$E31)),ISNUMBER(SEARCH("MKT",$E31))),1,0)</f>
        <v>1</v>
      </c>
      <c r="Y31" s="15" t="n">
        <f aca="false">IF(OR(ISNUMBER(SEARCH("ALL",$E31)),ISNUMBER(SEARCH("SCM",$E31))),1,0)</f>
        <v>1</v>
      </c>
      <c r="Z31" s="15" t="n">
        <f aca="false">IF(OR(ISNUMBER(SEARCH("ALL",$E31)),ISNUMBER(SEARCH("FIN",$E31))),1,0)</f>
        <v>1</v>
      </c>
      <c r="AA31" s="15" t="n">
        <f aca="false">IF(OR(ISNUMBER(SEARCH("ALL",$E31)),ISNUMBER(SEARCH("AGI",$E31))),1,0)</f>
        <v>1</v>
      </c>
      <c r="AB31" s="17" t="s">
        <v>303</v>
      </c>
    </row>
    <row r="32" customFormat="false" ht="57.45" hidden="false" customHeight="false" outlineLevel="0" collapsed="false">
      <c r="A32" s="15" t="s">
        <v>304</v>
      </c>
      <c r="B32" s="10" t="s">
        <v>305</v>
      </c>
      <c r="C32" s="15" t="s">
        <v>290</v>
      </c>
      <c r="D32" s="15" t="s">
        <v>235</v>
      </c>
      <c r="E32" s="15" t="s">
        <v>203</v>
      </c>
      <c r="F32" s="15"/>
      <c r="G32" s="15" t="s">
        <v>154</v>
      </c>
      <c r="H32" s="15"/>
      <c r="M32" s="16" t="s">
        <v>306</v>
      </c>
      <c r="N32" s="16" t="s">
        <v>307</v>
      </c>
      <c r="O32" s="16" t="s">
        <v>308</v>
      </c>
      <c r="P32" s="11" t="s">
        <v>96</v>
      </c>
      <c r="Q32" s="11" t="n">
        <v>2021</v>
      </c>
      <c r="R32" s="11" t="n">
        <v>1</v>
      </c>
      <c r="S32" s="15" t="str">
        <f aca="false">IF($M32="","",IF(ISNUMBER($M32),"Measured",IF(ISNUMBER(SEARCH("DATA GAP",UPPER($M32))),"Gap",IF(AND($N32&lt;&gt;"",$P32&lt;&gt;"T5"),"Documented","Judged"))))</f>
        <v>Documented</v>
      </c>
      <c r="T32" s="15" t="n">
        <f aca="false">IF($AC32&lt;&gt;"","",IF(OR($S32="",$S32="Gap"),"",IF($S32="Measured",1+IF($H32="H",IF($M32&gt;=$I32,1,0)+IF($M32&gt;=$J32,1,0)+IF($M32&gt;=$K32,1,0)+IF($M32&gt;=$L32,1,0),IF($M32&lt;=$I32,1,0)+IF($M32&lt;=$J32,1,0)+IF($M32&lt;=$K32,1,0)+IF($M32&lt;=$L32,1,0)),IF($R32&lt;&gt;"",$R32,""))))</f>
        <v>1</v>
      </c>
      <c r="U32" s="15" t="str">
        <f aca="false">IF(OR($S32="",$S32="Gap",$Q32=""),"",IF($Q32&lt;Config!$C$2-Config!$C$3,"STALE",""))</f>
        <v>STALE</v>
      </c>
      <c r="V32" s="15" t="n">
        <f aca="false">IF(OR(ISNUMBER(SEARCH("ALL",$E32)),ISNUMBER(SEARCH("ADV",$E32))),1,0)</f>
        <v>1</v>
      </c>
      <c r="W32" s="15" t="n">
        <f aca="false">IF(OR(ISNUMBER(SEARCH("ALL",$E32)),ISNUMBER(SEARCH("SMF",$E32))),1,0)</f>
        <v>1</v>
      </c>
      <c r="X32" s="15" t="n">
        <f aca="false">IF(OR(ISNUMBER(SEARCH("ALL",$E32)),ISNUMBER(SEARCH("MKT",$E32))),1,0)</f>
        <v>1</v>
      </c>
      <c r="Y32" s="15" t="n">
        <f aca="false">IF(OR(ISNUMBER(SEARCH("ALL",$E32)),ISNUMBER(SEARCH("SCM",$E32))),1,0)</f>
        <v>1</v>
      </c>
      <c r="Z32" s="15" t="n">
        <f aca="false">IF(OR(ISNUMBER(SEARCH("ALL",$E32)),ISNUMBER(SEARCH("FIN",$E32))),1,0)</f>
        <v>1</v>
      </c>
      <c r="AA32" s="15" t="n">
        <f aca="false">IF(OR(ISNUMBER(SEARCH("ALL",$E32)),ISNUMBER(SEARCH("AGI",$E32))),1,0)</f>
        <v>1</v>
      </c>
      <c r="AB32" s="17" t="s">
        <v>309</v>
      </c>
    </row>
    <row r="33" customFormat="false" ht="79.85" hidden="false" customHeight="false" outlineLevel="0" collapsed="false">
      <c r="A33" s="15" t="s">
        <v>310</v>
      </c>
      <c r="B33" s="10" t="s">
        <v>311</v>
      </c>
      <c r="C33" s="15" t="s">
        <v>290</v>
      </c>
      <c r="D33" s="15" t="s">
        <v>235</v>
      </c>
      <c r="E33" s="15" t="s">
        <v>312</v>
      </c>
      <c r="F33" s="15" t="s">
        <v>284</v>
      </c>
      <c r="G33" s="15" t="s">
        <v>154</v>
      </c>
      <c r="H33" s="15"/>
      <c r="M33" s="16" t="s">
        <v>313</v>
      </c>
      <c r="N33" s="16" t="s">
        <v>314</v>
      </c>
      <c r="O33" s="16" t="s">
        <v>315</v>
      </c>
      <c r="P33" s="11" t="s">
        <v>92</v>
      </c>
      <c r="Q33" s="11" t="n">
        <v>2026</v>
      </c>
      <c r="R33" s="11" t="n">
        <v>1</v>
      </c>
      <c r="S33" s="15" t="str">
        <f aca="false">IF($M33="","",IF(ISNUMBER($M33),"Measured",IF(ISNUMBER(SEARCH("DATA GAP",UPPER($M33))),"Gap",IF(AND($N33&lt;&gt;"",$P33&lt;&gt;"T5"),"Documented","Judged"))))</f>
        <v>Documented</v>
      </c>
      <c r="T33" s="15" t="n">
        <f aca="false">IF($AC33&lt;&gt;"","",IF(OR($S33="",$S33="Gap"),"",IF($S33="Measured",1+IF($H33="H",IF($M33&gt;=$I33,1,0)+IF($M33&gt;=$J33,1,0)+IF($M33&gt;=$K33,1,0)+IF($M33&gt;=$L33,1,0),IF($M33&lt;=$I33,1,0)+IF($M33&lt;=$J33,1,0)+IF($M33&lt;=$K33,1,0)+IF($M33&lt;=$L33,1,0)),IF($R33&lt;&gt;"",$R33,""))))</f>
        <v>1</v>
      </c>
      <c r="U33" s="15" t="str">
        <f aca="false">IF(OR($S33="",$S33="Gap",$Q33=""),"",IF($Q33&lt;Config!$C$2-Config!$C$3,"STALE",""))</f>
        <v/>
      </c>
      <c r="V33" s="15" t="n">
        <f aca="false">IF(OR(ISNUMBER(SEARCH("ALL",$E33)),ISNUMBER(SEARCH("ADV",$E33))),1,0)</f>
        <v>0</v>
      </c>
      <c r="W33" s="15" t="n">
        <f aca="false">IF(OR(ISNUMBER(SEARCH("ALL",$E33)),ISNUMBER(SEARCH("SMF",$E33))),1,0)</f>
        <v>0</v>
      </c>
      <c r="X33" s="15" t="n">
        <f aca="false">IF(OR(ISNUMBER(SEARCH("ALL",$E33)),ISNUMBER(SEARCH("MKT",$E33))),1,0)</f>
        <v>0</v>
      </c>
      <c r="Y33" s="15" t="n">
        <f aca="false">IF(OR(ISNUMBER(SEARCH("ALL",$E33)),ISNUMBER(SEARCH("SCM",$E33))),1,0)</f>
        <v>0</v>
      </c>
      <c r="Z33" s="15" t="n">
        <f aca="false">IF(OR(ISNUMBER(SEARCH("ALL",$E33)),ISNUMBER(SEARCH("FIN",$E33))),1,0)</f>
        <v>1</v>
      </c>
      <c r="AA33" s="15" t="n">
        <f aca="false">IF(OR(ISNUMBER(SEARCH("ALL",$E33)),ISNUMBER(SEARCH("AGI",$E33))),1,0)</f>
        <v>1</v>
      </c>
    </row>
    <row r="34" customFormat="false" ht="46.25" hidden="false" customHeight="false" outlineLevel="0" collapsed="false">
      <c r="A34" s="15" t="s">
        <v>316</v>
      </c>
      <c r="B34" s="10" t="s">
        <v>317</v>
      </c>
      <c r="C34" s="15" t="s">
        <v>290</v>
      </c>
      <c r="D34" s="15" t="s">
        <v>235</v>
      </c>
      <c r="E34" s="15" t="s">
        <v>236</v>
      </c>
      <c r="F34" s="15"/>
      <c r="G34" s="15" t="s">
        <v>154</v>
      </c>
      <c r="H34" s="15"/>
      <c r="M34" s="16" t="s">
        <v>318</v>
      </c>
      <c r="N34" s="16" t="s">
        <v>319</v>
      </c>
      <c r="O34" s="16" t="s">
        <v>320</v>
      </c>
      <c r="P34" s="11" t="s">
        <v>96</v>
      </c>
      <c r="Q34" s="11" t="n">
        <v>2025</v>
      </c>
      <c r="R34" s="11" t="n">
        <v>4</v>
      </c>
      <c r="S34" s="15" t="str">
        <f aca="false">IF($M34="","",IF(ISNUMBER($M34),"Measured",IF(ISNUMBER(SEARCH("DATA GAP",UPPER($M34))),"Gap",IF(AND($N34&lt;&gt;"",$P34&lt;&gt;"T5"),"Documented","Judged"))))</f>
        <v>Documented</v>
      </c>
      <c r="T34" s="15" t="n">
        <f aca="false">IF($AC34&lt;&gt;"","",IF(OR($S34="",$S34="Gap"),"",IF($S34="Measured",1+IF($H34="H",IF($M34&gt;=$I34,1,0)+IF($M34&gt;=$J34,1,0)+IF($M34&gt;=$K34,1,0)+IF($M34&gt;=$L34,1,0),IF($M34&lt;=$I34,1,0)+IF($M34&lt;=$J34,1,0)+IF($M34&lt;=$K34,1,0)+IF($M34&lt;=$L34,1,0)),IF($R34&lt;&gt;"",$R34,""))))</f>
        <v>4</v>
      </c>
      <c r="U34" s="15" t="str">
        <f aca="false">IF(OR($S34="",$S34="Gap",$Q34=""),"",IF($Q34&lt;Config!$C$2-Config!$C$3,"STALE",""))</f>
        <v/>
      </c>
      <c r="V34" s="15" t="n">
        <f aca="false">IF(OR(ISNUMBER(SEARCH("ALL",$E34)),ISNUMBER(SEARCH("ADV",$E34))),1,0)</f>
        <v>1</v>
      </c>
      <c r="W34" s="15" t="n">
        <f aca="false">IF(OR(ISNUMBER(SEARCH("ALL",$E34)),ISNUMBER(SEARCH("SMF",$E34))),1,0)</f>
        <v>1</v>
      </c>
      <c r="X34" s="15" t="n">
        <f aca="false">IF(OR(ISNUMBER(SEARCH("ALL",$E34)),ISNUMBER(SEARCH("MKT",$E34))),1,0)</f>
        <v>1</v>
      </c>
      <c r="Y34" s="15" t="n">
        <f aca="false">IF(OR(ISNUMBER(SEARCH("ALL",$E34)),ISNUMBER(SEARCH("SCM",$E34))),1,0)</f>
        <v>1</v>
      </c>
      <c r="Z34" s="15" t="n">
        <f aca="false">IF(OR(ISNUMBER(SEARCH("ALL",$E34)),ISNUMBER(SEARCH("FIN",$E34))),1,0)</f>
        <v>1</v>
      </c>
      <c r="AA34" s="15" t="n">
        <f aca="false">IF(OR(ISNUMBER(SEARCH("ALL",$E34)),ISNUMBER(SEARCH("AGI",$E34))),1,0)</f>
        <v>1</v>
      </c>
      <c r="AB34" s="17" t="s">
        <v>321</v>
      </c>
    </row>
    <row r="35" customFormat="false" ht="91" hidden="false" customHeight="false" outlineLevel="0" collapsed="false">
      <c r="A35" s="15" t="s">
        <v>322</v>
      </c>
      <c r="B35" s="10" t="s">
        <v>323</v>
      </c>
      <c r="C35" s="15" t="s">
        <v>290</v>
      </c>
      <c r="D35" s="15" t="s">
        <v>235</v>
      </c>
      <c r="E35" s="15" t="s">
        <v>324</v>
      </c>
      <c r="F35" s="15" t="s">
        <v>325</v>
      </c>
      <c r="G35" s="15" t="s">
        <v>143</v>
      </c>
      <c r="H35" s="15" t="s">
        <v>144</v>
      </c>
      <c r="I35" s="15" t="n">
        <v>20</v>
      </c>
      <c r="J35" s="15" t="n">
        <v>40</v>
      </c>
      <c r="K35" s="15" t="n">
        <v>60</v>
      </c>
      <c r="L35" s="15" t="n">
        <v>80</v>
      </c>
      <c r="M35" s="16" t="n">
        <v>98.8</v>
      </c>
      <c r="N35" s="16" t="s">
        <v>326</v>
      </c>
      <c r="O35" s="16" t="s">
        <v>327</v>
      </c>
      <c r="P35" s="11" t="s">
        <v>88</v>
      </c>
      <c r="Q35" s="11" t="n">
        <v>2024</v>
      </c>
      <c r="R35" s="11"/>
      <c r="S35" s="15" t="str">
        <f aca="false">IF($M35="","",IF(ISNUMBER($M35),"Measured",IF(ISNUMBER(SEARCH("DATA GAP",UPPER($M35))),"Gap",IF(AND($N35&lt;&gt;"",$P35&lt;&gt;"T5"),"Documented","Judged"))))</f>
        <v>Measured</v>
      </c>
      <c r="T35" s="15" t="n">
        <f aca="false">IF($AC35&lt;&gt;"","",IF(OR($S35="",$S35="Gap"),"",IF($S35="Measured",1+IF($H35="H",IF($M35&gt;=$I35,1,0)+IF($M35&gt;=$J35,1,0)+IF($M35&gt;=$K35,1,0)+IF($M35&gt;=$L35,1,0),IF($M35&lt;=$I35,1,0)+IF($M35&lt;=$J35,1,0)+IF($M35&lt;=$K35,1,0)+IF($M35&lt;=$L35,1,0)),IF($R35&lt;&gt;"",$R35,""))))</f>
        <v>5</v>
      </c>
      <c r="U35" s="15" t="str">
        <f aca="false">IF(OR($S35="",$S35="Gap",$Q35=""),"",IF($Q35&lt;Config!$C$2-Config!$C$3,"STALE",""))</f>
        <v/>
      </c>
      <c r="V35" s="15" t="n">
        <f aca="false">IF(OR(ISNUMBER(SEARCH("ALL",$E35)),ISNUMBER(SEARCH("ADV",$E35))),1,0)</f>
        <v>1</v>
      </c>
      <c r="W35" s="15" t="n">
        <f aca="false">IF(OR(ISNUMBER(SEARCH("ALL",$E35)),ISNUMBER(SEARCH("SMF",$E35))),1,0)</f>
        <v>1</v>
      </c>
      <c r="X35" s="15" t="n">
        <f aca="false">IF(OR(ISNUMBER(SEARCH("ALL",$E35)),ISNUMBER(SEARCH("MKT",$E35))),1,0)</f>
        <v>1</v>
      </c>
      <c r="Y35" s="15" t="n">
        <f aca="false">IF(OR(ISNUMBER(SEARCH("ALL",$E35)),ISNUMBER(SEARCH("SCM",$E35))),1,0)</f>
        <v>1</v>
      </c>
      <c r="Z35" s="15" t="n">
        <f aca="false">IF(OR(ISNUMBER(SEARCH("ALL",$E35)),ISNUMBER(SEARCH("FIN",$E35))),1,0)</f>
        <v>1</v>
      </c>
      <c r="AA35" s="15" t="n">
        <f aca="false">IF(OR(ISNUMBER(SEARCH("ALL",$E35)),ISNUMBER(SEARCH("AGI",$E35))),1,0)</f>
        <v>1</v>
      </c>
      <c r="AB35" s="17" t="s">
        <v>328</v>
      </c>
    </row>
    <row r="36" customFormat="false" ht="57.45" hidden="false" customHeight="false" outlineLevel="0" collapsed="false">
      <c r="A36" s="15" t="s">
        <v>329</v>
      </c>
      <c r="B36" s="10" t="s">
        <v>330</v>
      </c>
      <c r="C36" s="15" t="s">
        <v>290</v>
      </c>
      <c r="D36" s="15" t="s">
        <v>235</v>
      </c>
      <c r="E36" s="15" t="s">
        <v>203</v>
      </c>
      <c r="F36" s="15" t="s">
        <v>331</v>
      </c>
      <c r="G36" s="15" t="s">
        <v>154</v>
      </c>
      <c r="H36" s="15"/>
      <c r="M36" s="16" t="s">
        <v>332</v>
      </c>
      <c r="N36" s="16" t="s">
        <v>333</v>
      </c>
      <c r="O36" s="16" t="s">
        <v>308</v>
      </c>
      <c r="P36" s="11" t="s">
        <v>96</v>
      </c>
      <c r="Q36" s="11" t="n">
        <v>2021</v>
      </c>
      <c r="R36" s="11" t="n">
        <v>4</v>
      </c>
      <c r="S36" s="15" t="str">
        <f aca="false">IF($M36="","",IF(ISNUMBER($M36),"Measured",IF(ISNUMBER(SEARCH("DATA GAP",UPPER($M36))),"Gap",IF(AND($N36&lt;&gt;"",$P36&lt;&gt;"T5"),"Documented","Judged"))))</f>
        <v>Documented</v>
      </c>
      <c r="T36" s="15" t="n">
        <f aca="false">IF($AC36&lt;&gt;"","",IF(OR($S36="",$S36="Gap"),"",IF($S36="Measured",1+IF($H36="H",IF($M36&gt;=$I36,1,0)+IF($M36&gt;=$J36,1,0)+IF($M36&gt;=$K36,1,0)+IF($M36&gt;=$L36,1,0),IF($M36&lt;=$I36,1,0)+IF($M36&lt;=$J36,1,0)+IF($M36&lt;=$K36,1,0)+IF($M36&lt;=$L36,1,0)),IF($R36&lt;&gt;"",$R36,""))))</f>
        <v>4</v>
      </c>
      <c r="U36" s="15" t="str">
        <f aca="false">IF(OR($S36="",$S36="Gap",$Q36=""),"",IF($Q36&lt;Config!$C$2-Config!$C$3,"STALE",""))</f>
        <v>STALE</v>
      </c>
      <c r="V36" s="15" t="n">
        <f aca="false">IF(OR(ISNUMBER(SEARCH("ALL",$E36)),ISNUMBER(SEARCH("ADV",$E36))),1,0)</f>
        <v>1</v>
      </c>
      <c r="W36" s="15" t="n">
        <f aca="false">IF(OR(ISNUMBER(SEARCH("ALL",$E36)),ISNUMBER(SEARCH("SMF",$E36))),1,0)</f>
        <v>1</v>
      </c>
      <c r="X36" s="15" t="n">
        <f aca="false">IF(OR(ISNUMBER(SEARCH("ALL",$E36)),ISNUMBER(SEARCH("MKT",$E36))),1,0)</f>
        <v>1</v>
      </c>
      <c r="Y36" s="15" t="n">
        <f aca="false">IF(OR(ISNUMBER(SEARCH("ALL",$E36)),ISNUMBER(SEARCH("SCM",$E36))),1,0)</f>
        <v>1</v>
      </c>
      <c r="Z36" s="15" t="n">
        <f aca="false">IF(OR(ISNUMBER(SEARCH("ALL",$E36)),ISNUMBER(SEARCH("FIN",$E36))),1,0)</f>
        <v>1</v>
      </c>
      <c r="AA36" s="15" t="n">
        <f aca="false">IF(OR(ISNUMBER(SEARCH("ALL",$E36)),ISNUMBER(SEARCH("AGI",$E36))),1,0)</f>
        <v>1</v>
      </c>
      <c r="AB36" s="17" t="s">
        <v>334</v>
      </c>
    </row>
    <row r="37" customFormat="false" ht="46.25" hidden="false" customHeight="false" outlineLevel="0" collapsed="false">
      <c r="A37" s="15" t="s">
        <v>335</v>
      </c>
      <c r="B37" s="10" t="s">
        <v>336</v>
      </c>
      <c r="C37" s="15" t="s">
        <v>337</v>
      </c>
      <c r="D37" s="15" t="s">
        <v>235</v>
      </c>
      <c r="E37" s="15" t="s">
        <v>203</v>
      </c>
      <c r="F37" s="15"/>
      <c r="G37" s="15" t="s">
        <v>143</v>
      </c>
      <c r="H37" s="15" t="s">
        <v>144</v>
      </c>
      <c r="I37" s="15" t="n">
        <v>50</v>
      </c>
      <c r="J37" s="15" t="n">
        <v>65</v>
      </c>
      <c r="K37" s="15" t="n">
        <v>80</v>
      </c>
      <c r="L37" s="15" t="n">
        <v>90</v>
      </c>
      <c r="M37" s="16" t="n">
        <v>79.4531619498685</v>
      </c>
      <c r="N37" s="16" t="s">
        <v>338</v>
      </c>
      <c r="O37" s="16" t="s">
        <v>339</v>
      </c>
      <c r="P37" s="11" t="s">
        <v>88</v>
      </c>
      <c r="Q37" s="11" t="n">
        <v>2022</v>
      </c>
      <c r="R37" s="11"/>
      <c r="S37" s="15" t="str">
        <f aca="false">IF($M37="","",IF(ISNUMBER($M37),"Measured",IF(ISNUMBER(SEARCH("DATA GAP",UPPER($M37))),"Gap",IF(AND($N37&lt;&gt;"",$P37&lt;&gt;"T5"),"Documented","Judged"))))</f>
        <v>Measured</v>
      </c>
      <c r="T37" s="15" t="n">
        <f aca="false">IF($AC37&lt;&gt;"","",IF(OR($S37="",$S37="Gap"),"",IF($S37="Measured",1+IF($H37="H",IF($M37&gt;=$I37,1,0)+IF($M37&gt;=$J37,1,0)+IF($M37&gt;=$K37,1,0)+IF($M37&gt;=$L37,1,0),IF($M37&lt;=$I37,1,0)+IF($M37&lt;=$J37,1,0)+IF($M37&lt;=$K37,1,0)+IF($M37&lt;=$L37,1,0)),IF($R37&lt;&gt;"",$R37,""))))</f>
        <v>3</v>
      </c>
      <c r="U37" s="15" t="str">
        <f aca="false">IF(OR($S37="",$S37="Gap",$Q37=""),"",IF($Q37&lt;Config!$C$2-Config!$C$3,"STALE",""))</f>
        <v>STALE</v>
      </c>
      <c r="V37" s="15" t="n">
        <f aca="false">IF(OR(ISNUMBER(SEARCH("ALL",$E37)),ISNUMBER(SEARCH("ADV",$E37))),1,0)</f>
        <v>1</v>
      </c>
      <c r="W37" s="15" t="n">
        <f aca="false">IF(OR(ISNUMBER(SEARCH("ALL",$E37)),ISNUMBER(SEARCH("SMF",$E37))),1,0)</f>
        <v>1</v>
      </c>
      <c r="X37" s="15" t="n">
        <f aca="false">IF(OR(ISNUMBER(SEARCH("ALL",$E37)),ISNUMBER(SEARCH("MKT",$E37))),1,0)</f>
        <v>1</v>
      </c>
      <c r="Y37" s="15" t="n">
        <f aca="false">IF(OR(ISNUMBER(SEARCH("ALL",$E37)),ISNUMBER(SEARCH("SCM",$E37))),1,0)</f>
        <v>1</v>
      </c>
      <c r="Z37" s="15" t="n">
        <f aca="false">IF(OR(ISNUMBER(SEARCH("ALL",$E37)),ISNUMBER(SEARCH("FIN",$E37))),1,0)</f>
        <v>1</v>
      </c>
      <c r="AA37" s="15" t="n">
        <f aca="false">IF(OR(ISNUMBER(SEARCH("ALL",$E37)),ISNUMBER(SEARCH("AGI",$E37))),1,0)</f>
        <v>1</v>
      </c>
    </row>
    <row r="38" customFormat="false" ht="46.25" hidden="false" customHeight="false" outlineLevel="0" collapsed="false">
      <c r="A38" s="15" t="s">
        <v>340</v>
      </c>
      <c r="B38" s="10" t="s">
        <v>341</v>
      </c>
      <c r="C38" s="15" t="s">
        <v>337</v>
      </c>
      <c r="D38" s="15" t="s">
        <v>235</v>
      </c>
      <c r="E38" s="15" t="s">
        <v>203</v>
      </c>
      <c r="F38" s="15"/>
      <c r="G38" s="15" t="s">
        <v>143</v>
      </c>
      <c r="H38" s="15" t="s">
        <v>144</v>
      </c>
      <c r="I38" s="15" t="n">
        <v>10</v>
      </c>
      <c r="J38" s="15" t="n">
        <v>20</v>
      </c>
      <c r="K38" s="15" t="n">
        <v>30</v>
      </c>
      <c r="L38" s="15" t="n">
        <v>40</v>
      </c>
      <c r="M38" s="16" t="n">
        <v>38.0398346509947</v>
      </c>
      <c r="N38" s="16" t="s">
        <v>342</v>
      </c>
      <c r="O38" s="16" t="s">
        <v>343</v>
      </c>
      <c r="P38" s="11" t="s">
        <v>88</v>
      </c>
      <c r="Q38" s="11" t="n">
        <v>2025</v>
      </c>
      <c r="R38" s="11"/>
      <c r="S38" s="15" t="str">
        <f aca="false">IF($M38="","",IF(ISNUMBER($M38),"Measured",IF(ISNUMBER(SEARCH("DATA GAP",UPPER($M38))),"Gap",IF(AND($N38&lt;&gt;"",$P38&lt;&gt;"T5"),"Documented","Judged"))))</f>
        <v>Measured</v>
      </c>
      <c r="T38" s="15" t="str">
        <f aca="false">IF($AC38&lt;&gt;"","",IF(OR($S38="",$S38="Gap"),"",IF($S38="Measured",1+IF($H38="H",IF($M38&gt;=$I38,1,0)+IF($M38&gt;=$J38,1,0)+IF($M38&gt;=$K38,1,0)+IF($M38&gt;=$L38,1,0),IF($M38&lt;=$I38,1,0)+IF($M38&lt;=$J38,1,0)+IF($M38&lt;=$K38,1,0)+IF($M38&lt;=$L38,1,0)),IF($R38&lt;&gt;"",$R38,""))))</f>
        <v/>
      </c>
      <c r="U38" s="15" t="str">
        <f aca="false">IF(OR($S38="",$S38="Gap",$Q38=""),"",IF($Q38&lt;Config!$C$2-Config!$C$3,"STALE",""))</f>
        <v/>
      </c>
      <c r="V38" s="15" t="n">
        <f aca="false">IF(OR(ISNUMBER(SEARCH("ALL",$E38)),ISNUMBER(SEARCH("ADV",$E38))),1,0)</f>
        <v>1</v>
      </c>
      <c r="W38" s="15" t="n">
        <f aca="false">IF(OR(ISNUMBER(SEARCH("ALL",$E38)),ISNUMBER(SEARCH("SMF",$E38))),1,0)</f>
        <v>1</v>
      </c>
      <c r="X38" s="15" t="n">
        <f aca="false">IF(OR(ISNUMBER(SEARCH("ALL",$E38)),ISNUMBER(SEARCH("MKT",$E38))),1,0)</f>
        <v>1</v>
      </c>
      <c r="Y38" s="15" t="n">
        <f aca="false">IF(OR(ISNUMBER(SEARCH("ALL",$E38)),ISNUMBER(SEARCH("SCM",$E38))),1,0)</f>
        <v>1</v>
      </c>
      <c r="Z38" s="15" t="n">
        <f aca="false">IF(OR(ISNUMBER(SEARCH("ALL",$E38)),ISNUMBER(SEARCH("FIN",$E38))),1,0)</f>
        <v>1</v>
      </c>
      <c r="AA38" s="15" t="n">
        <f aca="false">IF(OR(ISNUMBER(SEARCH("ALL",$E38)),ISNUMBER(SEARCH("AGI",$E38))),1,0)</f>
        <v>1</v>
      </c>
      <c r="AB38" s="17" t="s">
        <v>344</v>
      </c>
      <c r="AC38" s="11" t="s">
        <v>189</v>
      </c>
    </row>
    <row r="39" customFormat="false" ht="79.85" hidden="false" customHeight="false" outlineLevel="0" collapsed="false">
      <c r="A39" s="15" t="s">
        <v>345</v>
      </c>
      <c r="B39" s="10" t="s">
        <v>346</v>
      </c>
      <c r="C39" s="15" t="s">
        <v>337</v>
      </c>
      <c r="D39" s="15" t="s">
        <v>235</v>
      </c>
      <c r="E39" s="15" t="s">
        <v>203</v>
      </c>
      <c r="F39" s="15"/>
      <c r="G39" s="15" t="s">
        <v>143</v>
      </c>
      <c r="H39" s="15" t="s">
        <v>144</v>
      </c>
      <c r="I39" s="15" t="n">
        <v>10</v>
      </c>
      <c r="J39" s="15" t="n">
        <v>25</v>
      </c>
      <c r="K39" s="15" t="n">
        <v>50</v>
      </c>
      <c r="L39" s="15" t="n">
        <v>75</v>
      </c>
      <c r="M39" s="16" t="s">
        <v>347</v>
      </c>
      <c r="N39" s="16" t="s">
        <v>348</v>
      </c>
      <c r="O39" s="16" t="s">
        <v>349</v>
      </c>
      <c r="P39" s="11" t="s">
        <v>92</v>
      </c>
      <c r="Q39" s="11" t="n">
        <v>2023</v>
      </c>
      <c r="R39" s="11"/>
      <c r="S39" s="15" t="str">
        <f aca="false">IF($M39="","",IF(ISNUMBER($M39),"Measured",IF(ISNUMBER(SEARCH("DATA GAP",UPPER($M39))),"Gap",IF(AND($N39&lt;&gt;"",$P39&lt;&gt;"T5"),"Documented","Judged"))))</f>
        <v>Documented</v>
      </c>
      <c r="T39" s="15" t="str">
        <f aca="false">IF($AC39&lt;&gt;"","",IF(OR($S39="",$S39="Gap"),"",IF($S39="Measured",1+IF($H39="H",IF($M39&gt;=$I39,1,0)+IF($M39&gt;=$J39,1,0)+IF($M39&gt;=$K39,1,0)+IF($M39&gt;=$L39,1,0),IF($M39&lt;=$I39,1,0)+IF($M39&lt;=$J39,1,0)+IF($M39&lt;=$K39,1,0)+IF($M39&lt;=$L39,1,0)),IF($R39&lt;&gt;"",$R39,""))))</f>
        <v/>
      </c>
      <c r="U39" s="15" t="str">
        <f aca="false">IF(OR($S39="",$S39="Gap",$Q39=""),"",IF($Q39&lt;Config!$C$2-Config!$C$3,"STALE",""))</f>
        <v/>
      </c>
      <c r="V39" s="15" t="n">
        <f aca="false">IF(OR(ISNUMBER(SEARCH("ALL",$E39)),ISNUMBER(SEARCH("ADV",$E39))),1,0)</f>
        <v>1</v>
      </c>
      <c r="W39" s="15" t="n">
        <f aca="false">IF(OR(ISNUMBER(SEARCH("ALL",$E39)),ISNUMBER(SEARCH("SMF",$E39))),1,0)</f>
        <v>1</v>
      </c>
      <c r="X39" s="15" t="n">
        <f aca="false">IF(OR(ISNUMBER(SEARCH("ALL",$E39)),ISNUMBER(SEARCH("MKT",$E39))),1,0)</f>
        <v>1</v>
      </c>
      <c r="Y39" s="15" t="n">
        <f aca="false">IF(OR(ISNUMBER(SEARCH("ALL",$E39)),ISNUMBER(SEARCH("SCM",$E39))),1,0)</f>
        <v>1</v>
      </c>
      <c r="Z39" s="15" t="n">
        <f aca="false">IF(OR(ISNUMBER(SEARCH("ALL",$E39)),ISNUMBER(SEARCH("FIN",$E39))),1,0)</f>
        <v>1</v>
      </c>
      <c r="AA39" s="15" t="n">
        <f aca="false">IF(OR(ISNUMBER(SEARCH("ALL",$E39)),ISNUMBER(SEARCH("AGI",$E39))),1,0)</f>
        <v>1</v>
      </c>
      <c r="AB39" s="17" t="s">
        <v>350</v>
      </c>
      <c r="AC39" s="11" t="s">
        <v>189</v>
      </c>
    </row>
    <row r="40" customFormat="false" ht="57.45" hidden="false" customHeight="false" outlineLevel="0" collapsed="false">
      <c r="A40" s="15" t="s">
        <v>351</v>
      </c>
      <c r="B40" s="10" t="s">
        <v>352</v>
      </c>
      <c r="C40" s="15" t="s">
        <v>337</v>
      </c>
      <c r="D40" s="15" t="s">
        <v>235</v>
      </c>
      <c r="E40" s="15" t="s">
        <v>353</v>
      </c>
      <c r="F40" s="15" t="s">
        <v>354</v>
      </c>
      <c r="G40" s="15" t="s">
        <v>154</v>
      </c>
      <c r="H40" s="15"/>
      <c r="M40" s="16" t="s">
        <v>355</v>
      </c>
      <c r="N40" s="16" t="s">
        <v>356</v>
      </c>
      <c r="O40" s="16" t="s">
        <v>357</v>
      </c>
      <c r="P40" s="11" t="s">
        <v>92</v>
      </c>
      <c r="Q40" s="11" t="n">
        <v>2025</v>
      </c>
      <c r="R40" s="11" t="n">
        <v>4</v>
      </c>
      <c r="S40" s="15" t="str">
        <f aca="false">IF($M40="","",IF(ISNUMBER($M40),"Measured",IF(ISNUMBER(SEARCH("DATA GAP",UPPER($M40))),"Gap",IF(AND($N40&lt;&gt;"",$P40&lt;&gt;"T5"),"Documented","Judged"))))</f>
        <v>Documented</v>
      </c>
      <c r="T40" s="15" t="n">
        <f aca="false">IF($AC40&lt;&gt;"","",IF(OR($S40="",$S40="Gap"),"",IF($S40="Measured",1+IF($H40="H",IF($M40&gt;=$I40,1,0)+IF($M40&gt;=$J40,1,0)+IF($M40&gt;=$K40,1,0)+IF($M40&gt;=$L40,1,0),IF($M40&lt;=$I40,1,0)+IF($M40&lt;=$J40,1,0)+IF($M40&lt;=$K40,1,0)+IF($M40&lt;=$L40,1,0)),IF($R40&lt;&gt;"",$R40,""))))</f>
        <v>4</v>
      </c>
      <c r="U40" s="15" t="str">
        <f aca="false">IF(OR($S40="",$S40="Gap",$Q40=""),"",IF($Q40&lt;Config!$C$2-Config!$C$3,"STALE",""))</f>
        <v/>
      </c>
      <c r="V40" s="15" t="n">
        <f aca="false">IF(OR(ISNUMBER(SEARCH("ALL",$E40)),ISNUMBER(SEARCH("ADV",$E40))),1,0)</f>
        <v>1</v>
      </c>
      <c r="W40" s="15" t="n">
        <f aca="false">IF(OR(ISNUMBER(SEARCH("ALL",$E40)),ISNUMBER(SEARCH("SMF",$E40))),1,0)</f>
        <v>0</v>
      </c>
      <c r="X40" s="15" t="n">
        <f aca="false">IF(OR(ISNUMBER(SEARCH("ALL",$E40)),ISNUMBER(SEARCH("MKT",$E40))),1,0)</f>
        <v>0</v>
      </c>
      <c r="Y40" s="15" t="n">
        <f aca="false">IF(OR(ISNUMBER(SEARCH("ALL",$E40)),ISNUMBER(SEARCH("SCM",$E40))),1,0)</f>
        <v>0</v>
      </c>
      <c r="Z40" s="15" t="n">
        <f aca="false">IF(OR(ISNUMBER(SEARCH("ALL",$E40)),ISNUMBER(SEARCH("FIN",$E40))),1,0)</f>
        <v>0</v>
      </c>
      <c r="AA40" s="15" t="n">
        <f aca="false">IF(OR(ISNUMBER(SEARCH("ALL",$E40)),ISNUMBER(SEARCH("AGI",$E40))),1,0)</f>
        <v>0</v>
      </c>
    </row>
    <row r="41" customFormat="false" ht="46.25" hidden="false" customHeight="false" outlineLevel="0" collapsed="false">
      <c r="A41" s="15" t="s">
        <v>358</v>
      </c>
      <c r="B41" s="10" t="s">
        <v>359</v>
      </c>
      <c r="C41" s="15" t="s">
        <v>337</v>
      </c>
      <c r="D41" s="15" t="s">
        <v>235</v>
      </c>
      <c r="E41" s="15" t="s">
        <v>203</v>
      </c>
      <c r="F41" s="15" t="s">
        <v>331</v>
      </c>
      <c r="G41" s="15" t="s">
        <v>154</v>
      </c>
      <c r="H41" s="15"/>
      <c r="M41" s="16" t="s">
        <v>360</v>
      </c>
      <c r="N41" s="16" t="s">
        <v>361</v>
      </c>
      <c r="O41" s="16" t="s">
        <v>362</v>
      </c>
      <c r="P41" s="11" t="s">
        <v>96</v>
      </c>
      <c r="Q41" s="11" t="n">
        <v>2021</v>
      </c>
      <c r="R41" s="11"/>
      <c r="S41" s="15" t="str">
        <f aca="false">IF($M41="","",IF(ISNUMBER($M41),"Measured",IF(ISNUMBER(SEARCH("DATA GAP",UPPER($M41))),"Gap",IF(AND($N41&lt;&gt;"",$P41&lt;&gt;"T5"),"Documented","Judged"))))</f>
        <v>Documented</v>
      </c>
      <c r="T41" s="15" t="str">
        <f aca="false">IF($AC41&lt;&gt;"","",IF(OR($S41="",$S41="Gap"),"",IF($S41="Measured",1+IF($H41="H",IF($M41&gt;=$I41,1,0)+IF($M41&gt;=$J41,1,0)+IF($M41&gt;=$K41,1,0)+IF($M41&gt;=$L41,1,0),IF($M41&lt;=$I41,1,0)+IF($M41&lt;=$J41,1,0)+IF($M41&lt;=$K41,1,0)+IF($M41&lt;=$L41,1,0)),IF($R41&lt;&gt;"",$R41,""))))</f>
        <v/>
      </c>
      <c r="U41" s="15" t="str">
        <f aca="false">IF(OR($S41="",$S41="Gap",$Q41=""),"",IF($Q41&lt;Config!$C$2-Config!$C$3,"STALE",""))</f>
        <v>STALE</v>
      </c>
      <c r="V41" s="15" t="n">
        <f aca="false">IF(OR(ISNUMBER(SEARCH("ALL",$E41)),ISNUMBER(SEARCH("ADV",$E41))),1,0)</f>
        <v>1</v>
      </c>
      <c r="W41" s="15" t="n">
        <f aca="false">IF(OR(ISNUMBER(SEARCH("ALL",$E41)),ISNUMBER(SEARCH("SMF",$E41))),1,0)</f>
        <v>1</v>
      </c>
      <c r="X41" s="15" t="n">
        <f aca="false">IF(OR(ISNUMBER(SEARCH("ALL",$E41)),ISNUMBER(SEARCH("MKT",$E41))),1,0)</f>
        <v>1</v>
      </c>
      <c r="Y41" s="15" t="n">
        <f aca="false">IF(OR(ISNUMBER(SEARCH("ALL",$E41)),ISNUMBER(SEARCH("SCM",$E41))),1,0)</f>
        <v>1</v>
      </c>
      <c r="Z41" s="15" t="n">
        <f aca="false">IF(OR(ISNUMBER(SEARCH("ALL",$E41)),ISNUMBER(SEARCH("FIN",$E41))),1,0)</f>
        <v>1</v>
      </c>
      <c r="AA41" s="15" t="n">
        <f aca="false">IF(OR(ISNUMBER(SEARCH("ALL",$E41)),ISNUMBER(SEARCH("AGI",$E41))),1,0)</f>
        <v>1</v>
      </c>
      <c r="AB41" s="17" t="s">
        <v>363</v>
      </c>
      <c r="AC41" s="11" t="s">
        <v>189</v>
      </c>
    </row>
    <row r="42" customFormat="false" ht="46.25" hidden="false" customHeight="false" outlineLevel="0" collapsed="false">
      <c r="A42" s="15" t="s">
        <v>364</v>
      </c>
      <c r="B42" s="10" t="s">
        <v>365</v>
      </c>
      <c r="C42" s="15" t="s">
        <v>337</v>
      </c>
      <c r="D42" s="15" t="s">
        <v>235</v>
      </c>
      <c r="E42" s="15" t="s">
        <v>203</v>
      </c>
      <c r="F42" s="15"/>
      <c r="G42" s="15" t="s">
        <v>154</v>
      </c>
      <c r="H42" s="15"/>
      <c r="M42" s="16" t="s">
        <v>366</v>
      </c>
      <c r="N42" s="16" t="s">
        <v>367</v>
      </c>
      <c r="O42" s="16" t="s">
        <v>368</v>
      </c>
      <c r="P42" s="11" t="s">
        <v>96</v>
      </c>
      <c r="Q42" s="11" t="n">
        <v>2024</v>
      </c>
      <c r="R42" s="11" t="n">
        <v>3</v>
      </c>
      <c r="S42" s="15" t="str">
        <f aca="false">IF($M42="","",IF(ISNUMBER($M42),"Measured",IF(ISNUMBER(SEARCH("DATA GAP",UPPER($M42))),"Gap",IF(AND($N42&lt;&gt;"",$P42&lt;&gt;"T5"),"Documented","Judged"))))</f>
        <v>Documented</v>
      </c>
      <c r="T42" s="15" t="n">
        <f aca="false">IF($AC42&lt;&gt;"","",IF(OR($S42="",$S42="Gap"),"",IF($S42="Measured",1+IF($H42="H",IF($M42&gt;=$I42,1,0)+IF($M42&gt;=$J42,1,0)+IF($M42&gt;=$K42,1,0)+IF($M42&gt;=$L42,1,0),IF($M42&lt;=$I42,1,0)+IF($M42&lt;=$J42,1,0)+IF($M42&lt;=$K42,1,0)+IF($M42&lt;=$L42,1,0)),IF($R42&lt;&gt;"",$R42,""))))</f>
        <v>3</v>
      </c>
      <c r="U42" s="15" t="str">
        <f aca="false">IF(OR($S42="",$S42="Gap",$Q42=""),"",IF($Q42&lt;Config!$C$2-Config!$C$3,"STALE",""))</f>
        <v/>
      </c>
      <c r="V42" s="15" t="n">
        <f aca="false">IF(OR(ISNUMBER(SEARCH("ALL",$E42)),ISNUMBER(SEARCH("ADV",$E42))),1,0)</f>
        <v>1</v>
      </c>
      <c r="W42" s="15" t="n">
        <f aca="false">IF(OR(ISNUMBER(SEARCH("ALL",$E42)),ISNUMBER(SEARCH("SMF",$E42))),1,0)</f>
        <v>1</v>
      </c>
      <c r="X42" s="15" t="n">
        <f aca="false">IF(OR(ISNUMBER(SEARCH("ALL",$E42)),ISNUMBER(SEARCH("MKT",$E42))),1,0)</f>
        <v>1</v>
      </c>
      <c r="Y42" s="15" t="n">
        <f aca="false">IF(OR(ISNUMBER(SEARCH("ALL",$E42)),ISNUMBER(SEARCH("SCM",$E42))),1,0)</f>
        <v>1</v>
      </c>
      <c r="Z42" s="15" t="n">
        <f aca="false">IF(OR(ISNUMBER(SEARCH("ALL",$E42)),ISNUMBER(SEARCH("FIN",$E42))),1,0)</f>
        <v>1</v>
      </c>
      <c r="AA42" s="15" t="n">
        <f aca="false">IF(OR(ISNUMBER(SEARCH("ALL",$E42)),ISNUMBER(SEARCH("AGI",$E42))),1,0)</f>
        <v>1</v>
      </c>
      <c r="AB42" s="17" t="s">
        <v>369</v>
      </c>
    </row>
    <row r="43" customFormat="false" ht="135.8" hidden="false" customHeight="false" outlineLevel="0" collapsed="false">
      <c r="A43" s="15" t="s">
        <v>370</v>
      </c>
      <c r="B43" s="10" t="s">
        <v>371</v>
      </c>
      <c r="C43" s="15" t="s">
        <v>337</v>
      </c>
      <c r="D43" s="15" t="s">
        <v>235</v>
      </c>
      <c r="E43" s="15" t="s">
        <v>372</v>
      </c>
      <c r="F43" s="15"/>
      <c r="G43" s="15" t="s">
        <v>143</v>
      </c>
      <c r="H43" s="15" t="s">
        <v>144</v>
      </c>
      <c r="I43" s="15" t="n">
        <v>20</v>
      </c>
      <c r="J43" s="15" t="n">
        <v>35</v>
      </c>
      <c r="K43" s="15" t="n">
        <v>45</v>
      </c>
      <c r="L43" s="15" t="n">
        <v>50</v>
      </c>
      <c r="M43" s="16" t="s">
        <v>373</v>
      </c>
      <c r="N43" s="16" t="s">
        <v>206</v>
      </c>
      <c r="O43" s="16"/>
      <c r="P43" s="11"/>
      <c r="Q43" s="11" t="n">
        <v>2026</v>
      </c>
      <c r="R43" s="11"/>
      <c r="S43" s="15" t="str">
        <f aca="false">IF($M43="","",IF(ISNUMBER($M43),"Measured",IF(ISNUMBER(SEARCH("DATA GAP",UPPER($M43))),"Gap",IF(AND($N43&lt;&gt;"",$P43&lt;&gt;"T5"),"Documented","Judged"))))</f>
        <v>Gap</v>
      </c>
      <c r="T43" s="15" t="str">
        <f aca="false">IF($AC43&lt;&gt;"","",IF(OR($S43="",$S43="Gap"),"",IF($S43="Measured",1+IF($H43="H",IF($M43&gt;=$I43,1,0)+IF($M43&gt;=$J43,1,0)+IF($M43&gt;=$K43,1,0)+IF($M43&gt;=$L43,1,0),IF($M43&lt;=$I43,1,0)+IF($M43&lt;=$J43,1,0)+IF($M43&lt;=$K43,1,0)+IF($M43&lt;=$L43,1,0)),IF($R43&lt;&gt;"",$R43,""))))</f>
        <v/>
      </c>
      <c r="U43" s="15" t="str">
        <f aca="false">IF(OR($S43="",$S43="Gap",$Q43=""),"",IF($Q43&lt;Config!$C$2-Config!$C$3,"STALE",""))</f>
        <v/>
      </c>
      <c r="V43" s="15" t="n">
        <f aca="false">IF(OR(ISNUMBER(SEARCH("ALL",$E43)),ISNUMBER(SEARCH("ADV",$E43))),1,0)</f>
        <v>1</v>
      </c>
      <c r="W43" s="15" t="n">
        <f aca="false">IF(OR(ISNUMBER(SEARCH("ALL",$E43)),ISNUMBER(SEARCH("SMF",$E43))),1,0)</f>
        <v>0</v>
      </c>
      <c r="X43" s="15" t="n">
        <f aca="false">IF(OR(ISNUMBER(SEARCH("ALL",$E43)),ISNUMBER(SEARCH("MKT",$E43))),1,0)</f>
        <v>0</v>
      </c>
      <c r="Y43" s="15" t="n">
        <f aca="false">IF(OR(ISNUMBER(SEARCH("ALL",$E43)),ISNUMBER(SEARCH("SCM",$E43))),1,0)</f>
        <v>0</v>
      </c>
      <c r="Z43" s="15" t="n">
        <f aca="false">IF(OR(ISNUMBER(SEARCH("ALL",$E43)),ISNUMBER(SEARCH("FIN",$E43))),1,0)</f>
        <v>0</v>
      </c>
      <c r="AA43" s="15" t="n">
        <f aca="false">IF(OR(ISNUMBER(SEARCH("ALL",$E43)),ISNUMBER(SEARCH("AGI",$E43))),1,0)</f>
        <v>0</v>
      </c>
      <c r="AB43" s="17" t="s">
        <v>374</v>
      </c>
    </row>
    <row r="44" customFormat="false" ht="46.25" hidden="false" customHeight="false" outlineLevel="0" collapsed="false">
      <c r="A44" s="15" t="s">
        <v>375</v>
      </c>
      <c r="B44" s="10" t="s">
        <v>376</v>
      </c>
      <c r="C44" s="15" t="s">
        <v>377</v>
      </c>
      <c r="D44" s="15" t="s">
        <v>235</v>
      </c>
      <c r="E44" s="15" t="s">
        <v>203</v>
      </c>
      <c r="F44" s="15"/>
      <c r="G44" s="15" t="s">
        <v>143</v>
      </c>
      <c r="H44" s="15" t="s">
        <v>144</v>
      </c>
      <c r="I44" s="15" t="n">
        <v>25</v>
      </c>
      <c r="J44" s="15" t="n">
        <v>35</v>
      </c>
      <c r="K44" s="15" t="n">
        <v>45</v>
      </c>
      <c r="L44" s="15" t="n">
        <v>55</v>
      </c>
      <c r="M44" s="16" t="n">
        <v>24.7</v>
      </c>
      <c r="N44" s="16" t="s">
        <v>378</v>
      </c>
      <c r="O44" s="16" t="s">
        <v>379</v>
      </c>
      <c r="P44" s="11" t="s">
        <v>92</v>
      </c>
      <c r="Q44" s="11" t="n">
        <v>2025</v>
      </c>
      <c r="R44" s="11"/>
      <c r="S44" s="15" t="str">
        <f aca="false">IF($M44="","",IF(ISNUMBER($M44),"Measured",IF(ISNUMBER(SEARCH("DATA GAP",UPPER($M44))),"Gap",IF(AND($N44&lt;&gt;"",$P44&lt;&gt;"T5"),"Documented","Judged"))))</f>
        <v>Measured</v>
      </c>
      <c r="T44" s="15" t="n">
        <f aca="false">IF($AC44&lt;&gt;"","",IF(OR($S44="",$S44="Gap"),"",IF($S44="Measured",1+IF($H44="H",IF($M44&gt;=$I44,1,0)+IF($M44&gt;=$J44,1,0)+IF($M44&gt;=$K44,1,0)+IF($M44&gt;=$L44,1,0),IF($M44&lt;=$I44,1,0)+IF($M44&lt;=$J44,1,0)+IF($M44&lt;=$K44,1,0)+IF($M44&lt;=$L44,1,0)),IF($R44&lt;&gt;"",$R44,""))))</f>
        <v>1</v>
      </c>
      <c r="U44" s="15" t="str">
        <f aca="false">IF(OR($S44="",$S44="Gap",$Q44=""),"",IF($Q44&lt;Config!$C$2-Config!$C$3,"STALE",""))</f>
        <v/>
      </c>
      <c r="V44" s="15" t="n">
        <f aca="false">IF(OR(ISNUMBER(SEARCH("ALL",$E44)),ISNUMBER(SEARCH("ADV",$E44))),1,0)</f>
        <v>1</v>
      </c>
      <c r="W44" s="15" t="n">
        <f aca="false">IF(OR(ISNUMBER(SEARCH("ALL",$E44)),ISNUMBER(SEARCH("SMF",$E44))),1,0)</f>
        <v>1</v>
      </c>
      <c r="X44" s="15" t="n">
        <f aca="false">IF(OR(ISNUMBER(SEARCH("ALL",$E44)),ISNUMBER(SEARCH("MKT",$E44))),1,0)</f>
        <v>1</v>
      </c>
      <c r="Y44" s="15" t="n">
        <f aca="false">IF(OR(ISNUMBER(SEARCH("ALL",$E44)),ISNUMBER(SEARCH("SCM",$E44))),1,0)</f>
        <v>1</v>
      </c>
      <c r="Z44" s="15" t="n">
        <f aca="false">IF(OR(ISNUMBER(SEARCH("ALL",$E44)),ISNUMBER(SEARCH("FIN",$E44))),1,0)</f>
        <v>1</v>
      </c>
      <c r="AA44" s="15" t="n">
        <f aca="false">IF(OR(ISNUMBER(SEARCH("ALL",$E44)),ISNUMBER(SEARCH("AGI",$E44))),1,0)</f>
        <v>1</v>
      </c>
    </row>
    <row r="45" customFormat="false" ht="135.8" hidden="false" customHeight="false" outlineLevel="0" collapsed="false">
      <c r="A45" s="15" t="s">
        <v>380</v>
      </c>
      <c r="B45" s="10" t="s">
        <v>381</v>
      </c>
      <c r="C45" s="15" t="s">
        <v>377</v>
      </c>
      <c r="D45" s="15" t="s">
        <v>235</v>
      </c>
      <c r="E45" s="15" t="s">
        <v>203</v>
      </c>
      <c r="F45" s="15"/>
      <c r="G45" s="15" t="s">
        <v>143</v>
      </c>
      <c r="H45" s="15" t="s">
        <v>144</v>
      </c>
      <c r="I45" s="15" t="n">
        <v>30</v>
      </c>
      <c r="J45" s="15" t="n">
        <v>45</v>
      </c>
      <c r="K45" s="15" t="n">
        <v>60</v>
      </c>
      <c r="L45" s="15" t="n">
        <v>75</v>
      </c>
      <c r="M45" s="16" t="s">
        <v>382</v>
      </c>
      <c r="N45" s="16" t="s">
        <v>206</v>
      </c>
      <c r="O45" s="16"/>
      <c r="P45" s="11"/>
      <c r="Q45" s="11" t="n">
        <v>2026</v>
      </c>
      <c r="R45" s="11"/>
      <c r="S45" s="15" t="str">
        <f aca="false">IF($M45="","",IF(ISNUMBER($M45),"Measured",IF(ISNUMBER(SEARCH("DATA GAP",UPPER($M45))),"Gap",IF(AND($N45&lt;&gt;"",$P45&lt;&gt;"T5"),"Documented","Judged"))))</f>
        <v>Gap</v>
      </c>
      <c r="T45" s="15" t="str">
        <f aca="false">IF($AC45&lt;&gt;"","",IF(OR($S45="",$S45="Gap"),"",IF($S45="Measured",1+IF($H45="H",IF($M45&gt;=$I45,1,0)+IF($M45&gt;=$J45,1,0)+IF($M45&gt;=$K45,1,0)+IF($M45&gt;=$L45,1,0),IF($M45&lt;=$I45,1,0)+IF($M45&lt;=$J45,1,0)+IF($M45&lt;=$K45,1,0)+IF($M45&lt;=$L45,1,0)),IF($R45&lt;&gt;"",$R45,""))))</f>
        <v/>
      </c>
      <c r="U45" s="15" t="str">
        <f aca="false">IF(OR($S45="",$S45="Gap",$Q45=""),"",IF($Q45&lt;Config!$C$2-Config!$C$3,"STALE",""))</f>
        <v/>
      </c>
      <c r="V45" s="15" t="n">
        <f aca="false">IF(OR(ISNUMBER(SEARCH("ALL",$E45)),ISNUMBER(SEARCH("ADV",$E45))),1,0)</f>
        <v>1</v>
      </c>
      <c r="W45" s="15" t="n">
        <f aca="false">IF(OR(ISNUMBER(SEARCH("ALL",$E45)),ISNUMBER(SEARCH("SMF",$E45))),1,0)</f>
        <v>1</v>
      </c>
      <c r="X45" s="15" t="n">
        <f aca="false">IF(OR(ISNUMBER(SEARCH("ALL",$E45)),ISNUMBER(SEARCH("MKT",$E45))),1,0)</f>
        <v>1</v>
      </c>
      <c r="Y45" s="15" t="n">
        <f aca="false">IF(OR(ISNUMBER(SEARCH("ALL",$E45)),ISNUMBER(SEARCH("SCM",$E45))),1,0)</f>
        <v>1</v>
      </c>
      <c r="Z45" s="15" t="n">
        <f aca="false">IF(OR(ISNUMBER(SEARCH("ALL",$E45)),ISNUMBER(SEARCH("FIN",$E45))),1,0)</f>
        <v>1</v>
      </c>
      <c r="AA45" s="15" t="n">
        <f aca="false">IF(OR(ISNUMBER(SEARCH("ALL",$E45)),ISNUMBER(SEARCH("AGI",$E45))),1,0)</f>
        <v>1</v>
      </c>
    </row>
    <row r="46" customFormat="false" ht="57.45" hidden="false" customHeight="false" outlineLevel="0" collapsed="false">
      <c r="A46" s="15" t="s">
        <v>383</v>
      </c>
      <c r="B46" s="10" t="s">
        <v>384</v>
      </c>
      <c r="C46" s="15" t="s">
        <v>377</v>
      </c>
      <c r="D46" s="15" t="s">
        <v>385</v>
      </c>
      <c r="E46" s="15" t="s">
        <v>203</v>
      </c>
      <c r="F46" s="15"/>
      <c r="G46" s="15" t="s">
        <v>154</v>
      </c>
      <c r="H46" s="15"/>
      <c r="M46" s="16" t="s">
        <v>386</v>
      </c>
      <c r="N46" s="16" t="s">
        <v>387</v>
      </c>
      <c r="O46" s="16" t="s">
        <v>388</v>
      </c>
      <c r="P46" s="11" t="s">
        <v>100</v>
      </c>
      <c r="Q46" s="11" t="n">
        <v>2024</v>
      </c>
      <c r="R46" s="11" t="n">
        <v>3</v>
      </c>
      <c r="S46" s="15" t="str">
        <f aca="false">IF($M46="","",IF(ISNUMBER($M46),"Measured",IF(ISNUMBER(SEARCH("DATA GAP",UPPER($M46))),"Gap",IF(AND($N46&lt;&gt;"",$P46&lt;&gt;"T5"),"Documented","Judged"))))</f>
        <v>Documented</v>
      </c>
      <c r="T46" s="15" t="n">
        <f aca="false">IF($AC46&lt;&gt;"","",IF(OR($S46="",$S46="Gap"),"",IF($S46="Measured",1+IF($H46="H",IF($M46&gt;=$I46,1,0)+IF($M46&gt;=$J46,1,0)+IF($M46&gt;=$K46,1,0)+IF($M46&gt;=$L46,1,0),IF($M46&lt;=$I46,1,0)+IF($M46&lt;=$J46,1,0)+IF($M46&lt;=$K46,1,0)+IF($M46&lt;=$L46,1,0)),IF($R46&lt;&gt;"",$R46,""))))</f>
        <v>3</v>
      </c>
      <c r="U46" s="15" t="str">
        <f aca="false">IF(OR($S46="",$S46="Gap",$Q46=""),"",IF($Q46&lt;Config!$C$2-Config!$C$3,"STALE",""))</f>
        <v/>
      </c>
      <c r="V46" s="15" t="n">
        <f aca="false">IF(OR(ISNUMBER(SEARCH("ALL",$E46)),ISNUMBER(SEARCH("ADV",$E46))),1,0)</f>
        <v>1</v>
      </c>
      <c r="W46" s="15" t="n">
        <f aca="false">IF(OR(ISNUMBER(SEARCH("ALL",$E46)),ISNUMBER(SEARCH("SMF",$E46))),1,0)</f>
        <v>1</v>
      </c>
      <c r="X46" s="15" t="n">
        <f aca="false">IF(OR(ISNUMBER(SEARCH("ALL",$E46)),ISNUMBER(SEARCH("MKT",$E46))),1,0)</f>
        <v>1</v>
      </c>
      <c r="Y46" s="15" t="n">
        <f aca="false">IF(OR(ISNUMBER(SEARCH("ALL",$E46)),ISNUMBER(SEARCH("SCM",$E46))),1,0)</f>
        <v>1</v>
      </c>
      <c r="Z46" s="15" t="n">
        <f aca="false">IF(OR(ISNUMBER(SEARCH("ALL",$E46)),ISNUMBER(SEARCH("FIN",$E46))),1,0)</f>
        <v>1</v>
      </c>
      <c r="AA46" s="15" t="n">
        <f aca="false">IF(OR(ISNUMBER(SEARCH("ALL",$E46)),ISNUMBER(SEARCH("AGI",$E46))),1,0)</f>
        <v>1</v>
      </c>
      <c r="AB46" s="17" t="s">
        <v>389</v>
      </c>
    </row>
    <row r="47" customFormat="false" ht="57.45" hidden="false" customHeight="false" outlineLevel="0" collapsed="false">
      <c r="A47" s="15" t="s">
        <v>390</v>
      </c>
      <c r="B47" s="10" t="s">
        <v>391</v>
      </c>
      <c r="C47" s="15" t="s">
        <v>377</v>
      </c>
      <c r="D47" s="15" t="s">
        <v>385</v>
      </c>
      <c r="E47" s="15" t="s">
        <v>392</v>
      </c>
      <c r="F47" s="15"/>
      <c r="G47" s="15" t="s">
        <v>154</v>
      </c>
      <c r="H47" s="15"/>
      <c r="M47" s="16" t="s">
        <v>393</v>
      </c>
      <c r="N47" s="16" t="s">
        <v>394</v>
      </c>
      <c r="O47" s="16" t="s">
        <v>357</v>
      </c>
      <c r="P47" s="11" t="s">
        <v>92</v>
      </c>
      <c r="Q47" s="11" t="n">
        <v>2025</v>
      </c>
      <c r="R47" s="11" t="n">
        <v>4</v>
      </c>
      <c r="S47" s="15" t="str">
        <f aca="false">IF($M47="","",IF(ISNUMBER($M47),"Measured",IF(ISNUMBER(SEARCH("DATA GAP",UPPER($M47))),"Gap",IF(AND($N47&lt;&gt;"",$P47&lt;&gt;"T5"),"Documented","Judged"))))</f>
        <v>Documented</v>
      </c>
      <c r="T47" s="15" t="n">
        <f aca="false">IF($AC47&lt;&gt;"","",IF(OR($S47="",$S47="Gap"),"",IF($S47="Measured",1+IF($H47="H",IF($M47&gt;=$I47,1,0)+IF($M47&gt;=$J47,1,0)+IF($M47&gt;=$K47,1,0)+IF($M47&gt;=$L47,1,0),IF($M47&lt;=$I47,1,0)+IF($M47&lt;=$J47,1,0)+IF($M47&lt;=$K47,1,0)+IF($M47&lt;=$L47,1,0)),IF($R47&lt;&gt;"",$R47,""))))</f>
        <v>4</v>
      </c>
      <c r="U47" s="15" t="str">
        <f aca="false">IF(OR($S47="",$S47="Gap",$Q47=""),"",IF($Q47&lt;Config!$C$2-Config!$C$3,"STALE",""))</f>
        <v/>
      </c>
      <c r="V47" s="15" t="n">
        <f aca="false">IF(OR(ISNUMBER(SEARCH("ALL",$E47)),ISNUMBER(SEARCH("ADV",$E47))),1,0)</f>
        <v>1</v>
      </c>
      <c r="W47" s="15" t="n">
        <f aca="false">IF(OR(ISNUMBER(SEARCH("ALL",$E47)),ISNUMBER(SEARCH("SMF",$E47))),1,0)</f>
        <v>0</v>
      </c>
      <c r="X47" s="15" t="n">
        <f aca="false">IF(OR(ISNUMBER(SEARCH("ALL",$E47)),ISNUMBER(SEARCH("MKT",$E47))),1,0)</f>
        <v>0</v>
      </c>
      <c r="Y47" s="15" t="n">
        <f aca="false">IF(OR(ISNUMBER(SEARCH("ALL",$E47)),ISNUMBER(SEARCH("SCM",$E47))),1,0)</f>
        <v>1</v>
      </c>
      <c r="Z47" s="15" t="n">
        <f aca="false">IF(OR(ISNUMBER(SEARCH("ALL",$E47)),ISNUMBER(SEARCH("FIN",$E47))),1,0)</f>
        <v>0</v>
      </c>
      <c r="AA47" s="15" t="n">
        <f aca="false">IF(OR(ISNUMBER(SEARCH("ALL",$E47)),ISNUMBER(SEARCH("AGI",$E47))),1,0)</f>
        <v>1</v>
      </c>
      <c r="AB47" s="17" t="s">
        <v>395</v>
      </c>
    </row>
    <row r="48" customFormat="false" ht="57.45" hidden="false" customHeight="false" outlineLevel="0" collapsed="false">
      <c r="A48" s="15" t="s">
        <v>396</v>
      </c>
      <c r="B48" s="10" t="s">
        <v>397</v>
      </c>
      <c r="C48" s="15" t="s">
        <v>377</v>
      </c>
      <c r="D48" s="15" t="s">
        <v>385</v>
      </c>
      <c r="E48" s="15" t="s">
        <v>203</v>
      </c>
      <c r="F48" s="15"/>
      <c r="G48" s="15" t="s">
        <v>154</v>
      </c>
      <c r="H48" s="15"/>
      <c r="M48" s="16" t="s">
        <v>398</v>
      </c>
      <c r="N48" s="16" t="s">
        <v>399</v>
      </c>
      <c r="O48" s="16" t="s">
        <v>400</v>
      </c>
      <c r="P48" s="11" t="s">
        <v>88</v>
      </c>
      <c r="Q48" s="11" t="n">
        <v>2025</v>
      </c>
      <c r="R48" s="11" t="n">
        <v>4</v>
      </c>
      <c r="S48" s="15" t="str">
        <f aca="false">IF($M48="","",IF(ISNUMBER($M48),"Measured",IF(ISNUMBER(SEARCH("DATA GAP",UPPER($M48))),"Gap",IF(AND($N48&lt;&gt;"",$P48&lt;&gt;"T5"),"Documented","Judged"))))</f>
        <v>Documented</v>
      </c>
      <c r="T48" s="15" t="n">
        <f aca="false">IF($AC48&lt;&gt;"","",IF(OR($S48="",$S48="Gap"),"",IF($S48="Measured",1+IF($H48="H",IF($M48&gt;=$I48,1,0)+IF($M48&gt;=$J48,1,0)+IF($M48&gt;=$K48,1,0)+IF($M48&gt;=$L48,1,0),IF($M48&lt;=$I48,1,0)+IF($M48&lt;=$J48,1,0)+IF($M48&lt;=$K48,1,0)+IF($M48&lt;=$L48,1,0)),IF($R48&lt;&gt;"",$R48,""))))</f>
        <v>4</v>
      </c>
      <c r="U48" s="15" t="str">
        <f aca="false">IF(OR($S48="",$S48="Gap",$Q48=""),"",IF($Q48&lt;Config!$C$2-Config!$C$3,"STALE",""))</f>
        <v/>
      </c>
      <c r="V48" s="15" t="n">
        <f aca="false">IF(OR(ISNUMBER(SEARCH("ALL",$E48)),ISNUMBER(SEARCH("ADV",$E48))),1,0)</f>
        <v>1</v>
      </c>
      <c r="W48" s="15" t="n">
        <f aca="false">IF(OR(ISNUMBER(SEARCH("ALL",$E48)),ISNUMBER(SEARCH("SMF",$E48))),1,0)</f>
        <v>1</v>
      </c>
      <c r="X48" s="15" t="n">
        <f aca="false">IF(OR(ISNUMBER(SEARCH("ALL",$E48)),ISNUMBER(SEARCH("MKT",$E48))),1,0)</f>
        <v>1</v>
      </c>
      <c r="Y48" s="15" t="n">
        <f aca="false">IF(OR(ISNUMBER(SEARCH("ALL",$E48)),ISNUMBER(SEARCH("SCM",$E48))),1,0)</f>
        <v>1</v>
      </c>
      <c r="Z48" s="15" t="n">
        <f aca="false">IF(OR(ISNUMBER(SEARCH("ALL",$E48)),ISNUMBER(SEARCH("FIN",$E48))),1,0)</f>
        <v>1</v>
      </c>
      <c r="AA48" s="15" t="n">
        <f aca="false">IF(OR(ISNUMBER(SEARCH("ALL",$E48)),ISNUMBER(SEARCH("AGI",$E48))),1,0)</f>
        <v>1</v>
      </c>
      <c r="AB48" s="17" t="s">
        <v>401</v>
      </c>
    </row>
    <row r="49" customFormat="false" ht="191.75" hidden="false" customHeight="false" outlineLevel="0" collapsed="false">
      <c r="A49" s="15" t="s">
        <v>402</v>
      </c>
      <c r="B49" s="10" t="s">
        <v>403</v>
      </c>
      <c r="C49" s="15" t="s">
        <v>377</v>
      </c>
      <c r="D49" s="15" t="s">
        <v>385</v>
      </c>
      <c r="E49" s="15" t="s">
        <v>404</v>
      </c>
      <c r="F49" s="15"/>
      <c r="G49" s="15" t="s">
        <v>143</v>
      </c>
      <c r="H49" s="15" t="s">
        <v>144</v>
      </c>
      <c r="I49" s="15" t="n">
        <v>10</v>
      </c>
      <c r="J49" s="15" t="n">
        <v>25</v>
      </c>
      <c r="K49" s="15" t="n">
        <v>50</v>
      </c>
      <c r="L49" s="15" t="n">
        <v>75</v>
      </c>
      <c r="M49" s="16" t="s">
        <v>405</v>
      </c>
      <c r="N49" s="16" t="s">
        <v>206</v>
      </c>
      <c r="O49" s="16"/>
      <c r="P49" s="11"/>
      <c r="Q49" s="11" t="n">
        <v>2026</v>
      </c>
      <c r="R49" s="11"/>
      <c r="S49" s="15" t="str">
        <f aca="false">IF($M49="","",IF(ISNUMBER($M49),"Measured",IF(ISNUMBER(SEARCH("DATA GAP",UPPER($M49))),"Gap",IF(AND($N49&lt;&gt;"",$P49&lt;&gt;"T5"),"Documented","Judged"))))</f>
        <v>Gap</v>
      </c>
      <c r="T49" s="15" t="str">
        <f aca="false">IF($AC49&lt;&gt;"","",IF(OR($S49="",$S49="Gap"),"",IF($S49="Measured",1+IF($H49="H",IF($M49&gt;=$I49,1,0)+IF($M49&gt;=$J49,1,0)+IF($M49&gt;=$K49,1,0)+IF($M49&gt;=$L49,1,0),IF($M49&lt;=$I49,1,0)+IF($M49&lt;=$J49,1,0)+IF($M49&lt;=$K49,1,0)+IF($M49&lt;=$L49,1,0)),IF($R49&lt;&gt;"",$R49,""))))</f>
        <v/>
      </c>
      <c r="U49" s="15" t="str">
        <f aca="false">IF(OR($S49="",$S49="Gap",$Q49=""),"",IF($Q49&lt;Config!$C$2-Config!$C$3,"STALE",""))</f>
        <v/>
      </c>
      <c r="V49" s="15" t="n">
        <f aca="false">IF(OR(ISNUMBER(SEARCH("ALL",$E49)),ISNUMBER(SEARCH("ADV",$E49))),1,0)</f>
        <v>0</v>
      </c>
      <c r="W49" s="15" t="n">
        <f aca="false">IF(OR(ISNUMBER(SEARCH("ALL",$E49)),ISNUMBER(SEARCH("SMF",$E49))),1,0)</f>
        <v>1</v>
      </c>
      <c r="X49" s="15" t="n">
        <f aca="false">IF(OR(ISNUMBER(SEARCH("ALL",$E49)),ISNUMBER(SEARCH("MKT",$E49))),1,0)</f>
        <v>1</v>
      </c>
      <c r="Y49" s="15" t="n">
        <f aca="false">IF(OR(ISNUMBER(SEARCH("ALL",$E49)),ISNUMBER(SEARCH("SCM",$E49))),1,0)</f>
        <v>1</v>
      </c>
      <c r="Z49" s="15" t="n">
        <f aca="false">IF(OR(ISNUMBER(SEARCH("ALL",$E49)),ISNUMBER(SEARCH("FIN",$E49))),1,0)</f>
        <v>0</v>
      </c>
      <c r="AA49" s="15" t="n">
        <f aca="false">IF(OR(ISNUMBER(SEARCH("ALL",$E49)),ISNUMBER(SEARCH("AGI",$E49))),1,0)</f>
        <v>0</v>
      </c>
      <c r="AB49" s="17" t="s">
        <v>406</v>
      </c>
    </row>
    <row r="50" customFormat="false" ht="57.45" hidden="false" customHeight="false" outlineLevel="0" collapsed="false">
      <c r="A50" s="15" t="s">
        <v>407</v>
      </c>
      <c r="B50" s="10" t="s">
        <v>408</v>
      </c>
      <c r="C50" s="15" t="s">
        <v>377</v>
      </c>
      <c r="D50" s="15" t="s">
        <v>385</v>
      </c>
      <c r="E50" s="15" t="s">
        <v>409</v>
      </c>
      <c r="F50" s="15" t="s">
        <v>325</v>
      </c>
      <c r="G50" s="15" t="s">
        <v>154</v>
      </c>
      <c r="H50" s="15"/>
      <c r="M50" s="16" t="s">
        <v>410</v>
      </c>
      <c r="N50" s="16" t="s">
        <v>411</v>
      </c>
      <c r="O50" s="16" t="s">
        <v>357</v>
      </c>
      <c r="P50" s="11" t="s">
        <v>92</v>
      </c>
      <c r="Q50" s="11" t="n">
        <v>2025</v>
      </c>
      <c r="R50" s="11" t="n">
        <v>4</v>
      </c>
      <c r="S50" s="15" t="str">
        <f aca="false">IF($M50="","",IF(ISNUMBER($M50),"Measured",IF(ISNUMBER(SEARCH("DATA GAP",UPPER($M50))),"Gap",IF(AND($N50&lt;&gt;"",$P50&lt;&gt;"T5"),"Documented","Judged"))))</f>
        <v>Documented</v>
      </c>
      <c r="T50" s="15" t="n">
        <f aca="false">IF($AC50&lt;&gt;"","",IF(OR($S50="",$S50="Gap"),"",IF($S50="Measured",1+IF($H50="H",IF($M50&gt;=$I50,1,0)+IF($M50&gt;=$J50,1,0)+IF($M50&gt;=$K50,1,0)+IF($M50&gt;=$L50,1,0),IF($M50&lt;=$I50,1,0)+IF($M50&lt;=$J50,1,0)+IF($M50&lt;=$K50,1,0)+IF($M50&lt;=$L50,1,0)),IF($R50&lt;&gt;"",$R50,""))))</f>
        <v>4</v>
      </c>
      <c r="U50" s="15" t="str">
        <f aca="false">IF(OR($S50="",$S50="Gap",$Q50=""),"",IF($Q50&lt;Config!$C$2-Config!$C$3,"STALE",""))</f>
        <v/>
      </c>
      <c r="V50" s="15" t="n">
        <f aca="false">IF(OR(ISNUMBER(SEARCH("ALL",$E50)),ISNUMBER(SEARCH("ADV",$E50))),1,0)</f>
        <v>0</v>
      </c>
      <c r="W50" s="15" t="n">
        <f aca="false">IF(OR(ISNUMBER(SEARCH("ALL",$E50)),ISNUMBER(SEARCH("SMF",$E50))),1,0)</f>
        <v>0</v>
      </c>
      <c r="X50" s="15" t="n">
        <f aca="false">IF(OR(ISNUMBER(SEARCH("ALL",$E50)),ISNUMBER(SEARCH("MKT",$E50))),1,0)</f>
        <v>0</v>
      </c>
      <c r="Y50" s="15" t="n">
        <f aca="false">IF(OR(ISNUMBER(SEARCH("ALL",$E50)),ISNUMBER(SEARCH("SCM",$E50))),1,0)</f>
        <v>0</v>
      </c>
      <c r="Z50" s="15" t="n">
        <f aca="false">IF(OR(ISNUMBER(SEARCH("ALL",$E50)),ISNUMBER(SEARCH("FIN",$E50))),1,0)</f>
        <v>1</v>
      </c>
      <c r="AA50" s="15" t="n">
        <f aca="false">IF(OR(ISNUMBER(SEARCH("ALL",$E50)),ISNUMBER(SEARCH("AGI",$E50))),1,0)</f>
        <v>0</v>
      </c>
      <c r="AB50" s="17" t="s">
        <v>412</v>
      </c>
    </row>
    <row r="51" customFormat="false" ht="57.45" hidden="false" customHeight="false" outlineLevel="0" collapsed="false">
      <c r="A51" s="15" t="s">
        <v>413</v>
      </c>
      <c r="B51" s="10" t="s">
        <v>414</v>
      </c>
      <c r="C51" s="15" t="s">
        <v>377</v>
      </c>
      <c r="D51" s="15" t="s">
        <v>385</v>
      </c>
      <c r="E51" s="15" t="s">
        <v>353</v>
      </c>
      <c r="F51" s="15"/>
      <c r="G51" s="15" t="s">
        <v>154</v>
      </c>
      <c r="H51" s="15"/>
      <c r="M51" s="16" t="s">
        <v>415</v>
      </c>
      <c r="N51" s="16" t="s">
        <v>416</v>
      </c>
      <c r="O51" s="16" t="s">
        <v>357</v>
      </c>
      <c r="P51" s="11" t="s">
        <v>92</v>
      </c>
      <c r="Q51" s="11" t="n">
        <v>2025</v>
      </c>
      <c r="R51" s="11" t="n">
        <v>4</v>
      </c>
      <c r="S51" s="15" t="str">
        <f aca="false">IF($M51="","",IF(ISNUMBER($M51),"Measured",IF(ISNUMBER(SEARCH("DATA GAP",UPPER($M51))),"Gap",IF(AND($N51&lt;&gt;"",$P51&lt;&gt;"T5"),"Documented","Judged"))))</f>
        <v>Documented</v>
      </c>
      <c r="T51" s="15" t="n">
        <f aca="false">IF($AC51&lt;&gt;"","",IF(OR($S51="",$S51="Gap"),"",IF($S51="Measured",1+IF($H51="H",IF($M51&gt;=$I51,1,0)+IF($M51&gt;=$J51,1,0)+IF($M51&gt;=$K51,1,0)+IF($M51&gt;=$L51,1,0),IF($M51&lt;=$I51,1,0)+IF($M51&lt;=$J51,1,0)+IF($M51&lt;=$K51,1,0)+IF($M51&lt;=$L51,1,0)),IF($R51&lt;&gt;"",$R51,""))))</f>
        <v>4</v>
      </c>
      <c r="U51" s="15" t="str">
        <f aca="false">IF(OR($S51="",$S51="Gap",$Q51=""),"",IF($Q51&lt;Config!$C$2-Config!$C$3,"STALE",""))</f>
        <v/>
      </c>
      <c r="V51" s="15" t="n">
        <f aca="false">IF(OR(ISNUMBER(SEARCH("ALL",$E51)),ISNUMBER(SEARCH("ADV",$E51))),1,0)</f>
        <v>1</v>
      </c>
      <c r="W51" s="15" t="n">
        <f aca="false">IF(OR(ISNUMBER(SEARCH("ALL",$E51)),ISNUMBER(SEARCH("SMF",$E51))),1,0)</f>
        <v>0</v>
      </c>
      <c r="X51" s="15" t="n">
        <f aca="false">IF(OR(ISNUMBER(SEARCH("ALL",$E51)),ISNUMBER(SEARCH("MKT",$E51))),1,0)</f>
        <v>0</v>
      </c>
      <c r="Y51" s="15" t="n">
        <f aca="false">IF(OR(ISNUMBER(SEARCH("ALL",$E51)),ISNUMBER(SEARCH("SCM",$E51))),1,0)</f>
        <v>0</v>
      </c>
      <c r="Z51" s="15" t="n">
        <f aca="false">IF(OR(ISNUMBER(SEARCH("ALL",$E51)),ISNUMBER(SEARCH("FIN",$E51))),1,0)</f>
        <v>0</v>
      </c>
      <c r="AA51" s="15" t="n">
        <f aca="false">IF(OR(ISNUMBER(SEARCH("ALL",$E51)),ISNUMBER(SEARCH("AGI",$E51))),1,0)</f>
        <v>0</v>
      </c>
      <c r="AB51" s="17" t="s">
        <v>417</v>
      </c>
    </row>
    <row r="52" customFormat="false" ht="57.45" hidden="false" customHeight="false" outlineLevel="0" collapsed="false">
      <c r="A52" s="15" t="s">
        <v>418</v>
      </c>
      <c r="B52" s="10" t="s">
        <v>419</v>
      </c>
      <c r="C52" s="15" t="s">
        <v>377</v>
      </c>
      <c r="D52" s="15" t="s">
        <v>385</v>
      </c>
      <c r="E52" s="15" t="s">
        <v>420</v>
      </c>
      <c r="F52" s="15"/>
      <c r="G52" s="15" t="s">
        <v>154</v>
      </c>
      <c r="H52" s="15"/>
      <c r="M52" s="16" t="s">
        <v>421</v>
      </c>
      <c r="N52" s="16" t="s">
        <v>416</v>
      </c>
      <c r="O52" s="16" t="s">
        <v>357</v>
      </c>
      <c r="P52" s="11" t="s">
        <v>92</v>
      </c>
      <c r="Q52" s="11" t="n">
        <v>2025</v>
      </c>
      <c r="R52" s="11" t="n">
        <v>4</v>
      </c>
      <c r="S52" s="15" t="str">
        <f aca="false">IF($M52="","",IF(ISNUMBER($M52),"Measured",IF(ISNUMBER(SEARCH("DATA GAP",UPPER($M52))),"Gap",IF(AND($N52&lt;&gt;"",$P52&lt;&gt;"T5"),"Documented","Judged"))))</f>
        <v>Documented</v>
      </c>
      <c r="T52" s="15" t="n">
        <f aca="false">IF($AC52&lt;&gt;"","",IF(OR($S52="",$S52="Gap"),"",IF($S52="Measured",1+IF($H52="H",IF($M52&gt;=$I52,1,0)+IF($M52&gt;=$J52,1,0)+IF($M52&gt;=$K52,1,0)+IF($M52&gt;=$L52,1,0),IF($M52&lt;=$I52,1,0)+IF($M52&lt;=$J52,1,0)+IF($M52&lt;=$K52,1,0)+IF($M52&lt;=$L52,1,0)),IF($R52&lt;&gt;"",$R52,""))))</f>
        <v>4</v>
      </c>
      <c r="U52" s="15" t="str">
        <f aca="false">IF(OR($S52="",$S52="Gap",$Q52=""),"",IF($Q52&lt;Config!$C$2-Config!$C$3,"STALE",""))</f>
        <v/>
      </c>
      <c r="V52" s="15" t="n">
        <f aca="false">IF(OR(ISNUMBER(SEARCH("ALL",$E52)),ISNUMBER(SEARCH("ADV",$E52))),1,0)</f>
        <v>0</v>
      </c>
      <c r="W52" s="15" t="n">
        <f aca="false">IF(OR(ISNUMBER(SEARCH("ALL",$E52)),ISNUMBER(SEARCH("SMF",$E52))),1,0)</f>
        <v>0</v>
      </c>
      <c r="X52" s="15" t="n">
        <f aca="false">IF(OR(ISNUMBER(SEARCH("ALL",$E52)),ISNUMBER(SEARCH("MKT",$E52))),1,0)</f>
        <v>1</v>
      </c>
      <c r="Y52" s="15" t="n">
        <f aca="false">IF(OR(ISNUMBER(SEARCH("ALL",$E52)),ISNUMBER(SEARCH("SCM",$E52))),1,0)</f>
        <v>0</v>
      </c>
      <c r="Z52" s="15" t="n">
        <f aca="false">IF(OR(ISNUMBER(SEARCH("ALL",$E52)),ISNUMBER(SEARCH("FIN",$E52))),1,0)</f>
        <v>0</v>
      </c>
      <c r="AA52" s="15" t="n">
        <f aca="false">IF(OR(ISNUMBER(SEARCH("ALL",$E52)),ISNUMBER(SEARCH("AGI",$E52))),1,0)</f>
        <v>0</v>
      </c>
      <c r="AB52" s="17" t="s">
        <v>422</v>
      </c>
    </row>
    <row r="53" customFormat="false" ht="79.85" hidden="false" customHeight="false" outlineLevel="0" collapsed="false">
      <c r="A53" s="15" t="s">
        <v>423</v>
      </c>
      <c r="B53" s="10" t="s">
        <v>424</v>
      </c>
      <c r="C53" s="15" t="s">
        <v>377</v>
      </c>
      <c r="D53" s="15" t="s">
        <v>385</v>
      </c>
      <c r="E53" s="15" t="s">
        <v>425</v>
      </c>
      <c r="F53" s="15"/>
      <c r="G53" s="15" t="s">
        <v>154</v>
      </c>
      <c r="H53" s="15"/>
      <c r="M53" s="16" t="s">
        <v>426</v>
      </c>
      <c r="N53" s="16" t="s">
        <v>427</v>
      </c>
      <c r="O53" s="16" t="s">
        <v>428</v>
      </c>
      <c r="P53" s="11" t="s">
        <v>100</v>
      </c>
      <c r="Q53" s="11" t="n">
        <v>2025</v>
      </c>
      <c r="R53" s="11" t="n">
        <v>3</v>
      </c>
      <c r="S53" s="15" t="str">
        <f aca="false">IF($M53="","",IF(ISNUMBER($M53),"Measured",IF(ISNUMBER(SEARCH("DATA GAP",UPPER($M53))),"Gap",IF(AND($N53&lt;&gt;"",$P53&lt;&gt;"T5"),"Documented","Judged"))))</f>
        <v>Documented</v>
      </c>
      <c r="T53" s="15" t="n">
        <f aca="false">IF($AC53&lt;&gt;"","",IF(OR($S53="",$S53="Gap"),"",IF($S53="Measured",1+IF($H53="H",IF($M53&gt;=$I53,1,0)+IF($M53&gt;=$J53,1,0)+IF($M53&gt;=$K53,1,0)+IF($M53&gt;=$L53,1,0),IF($M53&lt;=$I53,1,0)+IF($M53&lt;=$J53,1,0)+IF($M53&lt;=$K53,1,0)+IF($M53&lt;=$L53,1,0)),IF($R53&lt;&gt;"",$R53,""))))</f>
        <v>3</v>
      </c>
      <c r="U53" s="15" t="str">
        <f aca="false">IF(OR($S53="",$S53="Gap",$Q53=""),"",IF($Q53&lt;Config!$C$2-Config!$C$3,"STALE",""))</f>
        <v/>
      </c>
      <c r="V53" s="15" t="n">
        <f aca="false">IF(OR(ISNUMBER(SEARCH("ALL",$E53)),ISNUMBER(SEARCH("ADV",$E53))),1,0)</f>
        <v>1</v>
      </c>
      <c r="W53" s="15" t="n">
        <f aca="false">IF(OR(ISNUMBER(SEARCH("ALL",$E53)),ISNUMBER(SEARCH("SMF",$E53))),1,0)</f>
        <v>1</v>
      </c>
      <c r="X53" s="15" t="n">
        <f aca="false">IF(OR(ISNUMBER(SEARCH("ALL",$E53)),ISNUMBER(SEARCH("MKT",$E53))),1,0)</f>
        <v>0</v>
      </c>
      <c r="Y53" s="15" t="n">
        <f aca="false">IF(OR(ISNUMBER(SEARCH("ALL",$E53)),ISNUMBER(SEARCH("SCM",$E53))),1,0)</f>
        <v>1</v>
      </c>
      <c r="Z53" s="15" t="n">
        <f aca="false">IF(OR(ISNUMBER(SEARCH("ALL",$E53)),ISNUMBER(SEARCH("FIN",$E53))),1,0)</f>
        <v>1</v>
      </c>
      <c r="AA53" s="15" t="n">
        <f aca="false">IF(OR(ISNUMBER(SEARCH("ALL",$E53)),ISNUMBER(SEARCH("AGI",$E53))),1,0)</f>
        <v>1</v>
      </c>
      <c r="AB53" s="17" t="s">
        <v>429</v>
      </c>
    </row>
    <row r="54" customFormat="false" ht="57.45" hidden="false" customHeight="false" outlineLevel="0" collapsed="false">
      <c r="A54" s="15" t="s">
        <v>430</v>
      </c>
      <c r="B54" s="10" t="s">
        <v>431</v>
      </c>
      <c r="C54" s="15" t="s">
        <v>377</v>
      </c>
      <c r="D54" s="15" t="s">
        <v>235</v>
      </c>
      <c r="E54" s="15" t="s">
        <v>432</v>
      </c>
      <c r="F54" s="15" t="s">
        <v>433</v>
      </c>
      <c r="G54" s="15" t="s">
        <v>154</v>
      </c>
      <c r="H54" s="15"/>
      <c r="M54" s="16" t="s">
        <v>434</v>
      </c>
      <c r="N54" s="16" t="s">
        <v>435</v>
      </c>
      <c r="O54" s="16" t="s">
        <v>436</v>
      </c>
      <c r="P54" s="11" t="s">
        <v>96</v>
      </c>
      <c r="Q54" s="11" t="n">
        <v>2025</v>
      </c>
      <c r="R54" s="11" t="n">
        <v>1</v>
      </c>
      <c r="S54" s="15" t="str">
        <f aca="false">IF($M54="","",IF(ISNUMBER($M54),"Measured",IF(ISNUMBER(SEARCH("DATA GAP",UPPER($M54))),"Gap",IF(AND($N54&lt;&gt;"",$P54&lt;&gt;"T5"),"Documented","Judged"))))</f>
        <v>Documented</v>
      </c>
      <c r="T54" s="15" t="n">
        <f aca="false">IF($AC54&lt;&gt;"","",IF(OR($S54="",$S54="Gap"),"",IF($S54="Measured",1+IF($H54="H",IF($M54&gt;=$I54,1,0)+IF($M54&gt;=$J54,1,0)+IF($M54&gt;=$K54,1,0)+IF($M54&gt;=$L54,1,0),IF($M54&lt;=$I54,1,0)+IF($M54&lt;=$J54,1,0)+IF($M54&lt;=$K54,1,0)+IF($M54&lt;=$L54,1,0)),IF($R54&lt;&gt;"",$R54,""))))</f>
        <v>1</v>
      </c>
      <c r="U54" s="15" t="str">
        <f aca="false">IF(OR($S54="",$S54="Gap",$Q54=""),"",IF($Q54&lt;Config!$C$2-Config!$C$3,"STALE",""))</f>
        <v/>
      </c>
      <c r="V54" s="15" t="n">
        <f aca="false">IF(OR(ISNUMBER(SEARCH("ALL",$E54)),ISNUMBER(SEARCH("ADV",$E54))),1,0)</f>
        <v>0</v>
      </c>
      <c r="W54" s="15" t="n">
        <f aca="false">IF(OR(ISNUMBER(SEARCH("ALL",$E54)),ISNUMBER(SEARCH("SMF",$E54))),1,0)</f>
        <v>0</v>
      </c>
      <c r="X54" s="15" t="n">
        <f aca="false">IF(OR(ISNUMBER(SEARCH("ALL",$E54)),ISNUMBER(SEARCH("MKT",$E54))),1,0)</f>
        <v>0</v>
      </c>
      <c r="Y54" s="15" t="n">
        <f aca="false">IF(OR(ISNUMBER(SEARCH("ALL",$E54)),ISNUMBER(SEARCH("SCM",$E54))),1,0)</f>
        <v>0</v>
      </c>
      <c r="Z54" s="15" t="n">
        <f aca="false">IF(OR(ISNUMBER(SEARCH("ALL",$E54)),ISNUMBER(SEARCH("FIN",$E54))),1,0)</f>
        <v>0</v>
      </c>
      <c r="AA54" s="15" t="n">
        <f aca="false">IF(OR(ISNUMBER(SEARCH("ALL",$E54)),ISNUMBER(SEARCH("AGI",$E54))),1,0)</f>
        <v>0</v>
      </c>
      <c r="AB54" s="17" t="s">
        <v>437</v>
      </c>
    </row>
    <row r="55" customFormat="false" ht="46.25" hidden="false" customHeight="false" outlineLevel="0" collapsed="false">
      <c r="A55" s="15" t="s">
        <v>438</v>
      </c>
      <c r="B55" s="10" t="s">
        <v>439</v>
      </c>
      <c r="C55" s="15" t="s">
        <v>440</v>
      </c>
      <c r="D55" s="15" t="s">
        <v>441</v>
      </c>
      <c r="E55" s="15" t="s">
        <v>442</v>
      </c>
      <c r="F55" s="15"/>
      <c r="G55" s="15" t="s">
        <v>143</v>
      </c>
      <c r="H55" s="15" t="s">
        <v>144</v>
      </c>
      <c r="I55" s="15" t="n">
        <v>20</v>
      </c>
      <c r="J55" s="15" t="n">
        <v>40</v>
      </c>
      <c r="K55" s="15" t="n">
        <v>60</v>
      </c>
      <c r="L55" s="15" t="n">
        <v>80</v>
      </c>
      <c r="M55" s="16" t="n">
        <v>40.2142182329493</v>
      </c>
      <c r="N55" s="16" t="s">
        <v>443</v>
      </c>
      <c r="O55" s="16" t="s">
        <v>444</v>
      </c>
      <c r="P55" s="11" t="s">
        <v>88</v>
      </c>
      <c r="Q55" s="11" t="n">
        <v>2024</v>
      </c>
      <c r="R55" s="11"/>
      <c r="S55" s="15" t="str">
        <f aca="false">IF($M55="","",IF(ISNUMBER($M55),"Measured",IF(ISNUMBER(SEARCH("DATA GAP",UPPER($M55))),"Gap",IF(AND($N55&lt;&gt;"",$P55&lt;&gt;"T5"),"Documented","Judged"))))</f>
        <v>Measured</v>
      </c>
      <c r="T55" s="15" t="n">
        <f aca="false">IF($AC55&lt;&gt;"","",IF(OR($S55="",$S55="Gap"),"",IF($S55="Measured",1+IF($H55="H",IF($M55&gt;=$I55,1,0)+IF($M55&gt;=$J55,1,0)+IF($M55&gt;=$K55,1,0)+IF($M55&gt;=$L55,1,0),IF($M55&lt;=$I55,1,0)+IF($M55&lt;=$J55,1,0)+IF($M55&lt;=$K55,1,0)+IF($M55&lt;=$L55,1,0)),IF($R55&lt;&gt;"",$R55,""))))</f>
        <v>3</v>
      </c>
      <c r="U55" s="15" t="str">
        <f aca="false">IF(OR($S55="",$S55="Gap",$Q55=""),"",IF($Q55&lt;Config!$C$2-Config!$C$3,"STALE",""))</f>
        <v/>
      </c>
      <c r="V55" s="15" t="n">
        <f aca="false">IF(OR(ISNUMBER(SEARCH("ALL",$E55)),ISNUMBER(SEARCH("ADV",$E55))),1,0)</f>
        <v>0</v>
      </c>
      <c r="W55" s="15" t="n">
        <f aca="false">IF(OR(ISNUMBER(SEARCH("ALL",$E55)),ISNUMBER(SEARCH("SMF",$E55))),1,0)</f>
        <v>0</v>
      </c>
      <c r="X55" s="15" t="n">
        <f aca="false">IF(OR(ISNUMBER(SEARCH("ALL",$E55)),ISNUMBER(SEARCH("MKT",$E55))),1,0)</f>
        <v>0</v>
      </c>
      <c r="Y55" s="15" t="n">
        <f aca="false">IF(OR(ISNUMBER(SEARCH("ALL",$E55)),ISNUMBER(SEARCH("SCM",$E55))),1,0)</f>
        <v>0</v>
      </c>
      <c r="Z55" s="15" t="n">
        <f aca="false">IF(OR(ISNUMBER(SEARCH("ALL",$E55)),ISNUMBER(SEARCH("FIN",$E55))),1,0)</f>
        <v>1</v>
      </c>
      <c r="AA55" s="15" t="n">
        <f aca="false">IF(OR(ISNUMBER(SEARCH("ALL",$E55)),ISNUMBER(SEARCH("AGI",$E55))),1,0)</f>
        <v>0</v>
      </c>
      <c r="AB55" s="17" t="s">
        <v>445</v>
      </c>
    </row>
    <row r="56" customFormat="false" ht="57.45" hidden="false" customHeight="false" outlineLevel="0" collapsed="false">
      <c r="A56" s="15" t="s">
        <v>446</v>
      </c>
      <c r="B56" s="10" t="s">
        <v>447</v>
      </c>
      <c r="C56" s="15" t="s">
        <v>440</v>
      </c>
      <c r="D56" s="15" t="s">
        <v>441</v>
      </c>
      <c r="E56" s="15" t="s">
        <v>409</v>
      </c>
      <c r="F56" s="15"/>
      <c r="G56" s="15" t="s">
        <v>143</v>
      </c>
      <c r="H56" s="15" t="s">
        <v>144</v>
      </c>
      <c r="I56" s="15" t="n">
        <v>10</v>
      </c>
      <c r="J56" s="15" t="n">
        <v>25</v>
      </c>
      <c r="K56" s="15" t="n">
        <v>50</v>
      </c>
      <c r="L56" s="15" t="n">
        <v>75</v>
      </c>
      <c r="M56" s="16" t="n">
        <v>15.6</v>
      </c>
      <c r="N56" s="16" t="s">
        <v>448</v>
      </c>
      <c r="O56" s="16" t="s">
        <v>449</v>
      </c>
      <c r="P56" s="11" t="s">
        <v>88</v>
      </c>
      <c r="Q56" s="11" t="n">
        <v>2024</v>
      </c>
      <c r="R56" s="11"/>
      <c r="S56" s="15" t="str">
        <f aca="false">IF($M56="","",IF(ISNUMBER($M56),"Measured",IF(ISNUMBER(SEARCH("DATA GAP",UPPER($M56))),"Gap",IF(AND($N56&lt;&gt;"",$P56&lt;&gt;"T5"),"Documented","Judged"))))</f>
        <v>Measured</v>
      </c>
      <c r="T56" s="15" t="n">
        <f aca="false">IF($AC56&lt;&gt;"","",IF(OR($S56="",$S56="Gap"),"",IF($S56="Measured",1+IF($H56="H",IF($M56&gt;=$I56,1,0)+IF($M56&gt;=$J56,1,0)+IF($M56&gt;=$K56,1,0)+IF($M56&gt;=$L56,1,0),IF($M56&lt;=$I56,1,0)+IF($M56&lt;=$J56,1,0)+IF($M56&lt;=$K56,1,0)+IF($M56&lt;=$L56,1,0)),IF($R56&lt;&gt;"",$R56,""))))</f>
        <v>2</v>
      </c>
      <c r="U56" s="15" t="str">
        <f aca="false">IF(OR($S56="",$S56="Gap",$Q56=""),"",IF($Q56&lt;Config!$C$2-Config!$C$3,"STALE",""))</f>
        <v/>
      </c>
      <c r="V56" s="15" t="n">
        <f aca="false">IF(OR(ISNUMBER(SEARCH("ALL",$E56)),ISNUMBER(SEARCH("ADV",$E56))),1,0)</f>
        <v>0</v>
      </c>
      <c r="W56" s="15" t="n">
        <f aca="false">IF(OR(ISNUMBER(SEARCH("ALL",$E56)),ISNUMBER(SEARCH("SMF",$E56))),1,0)</f>
        <v>0</v>
      </c>
      <c r="X56" s="15" t="n">
        <f aca="false">IF(OR(ISNUMBER(SEARCH("ALL",$E56)),ISNUMBER(SEARCH("MKT",$E56))),1,0)</f>
        <v>0</v>
      </c>
      <c r="Y56" s="15" t="n">
        <f aca="false">IF(OR(ISNUMBER(SEARCH("ALL",$E56)),ISNUMBER(SEARCH("SCM",$E56))),1,0)</f>
        <v>0</v>
      </c>
      <c r="Z56" s="15" t="n">
        <f aca="false">IF(OR(ISNUMBER(SEARCH("ALL",$E56)),ISNUMBER(SEARCH("FIN",$E56))),1,0)</f>
        <v>1</v>
      </c>
      <c r="AA56" s="15" t="n">
        <f aca="false">IF(OR(ISNUMBER(SEARCH("ALL",$E56)),ISNUMBER(SEARCH("AGI",$E56))),1,0)</f>
        <v>0</v>
      </c>
    </row>
    <row r="57" customFormat="false" ht="68.65" hidden="false" customHeight="false" outlineLevel="0" collapsed="false">
      <c r="A57" s="15" t="s">
        <v>450</v>
      </c>
      <c r="B57" s="10" t="s">
        <v>451</v>
      </c>
      <c r="C57" s="15" t="s">
        <v>440</v>
      </c>
      <c r="D57" s="15" t="s">
        <v>441</v>
      </c>
      <c r="E57" s="15" t="s">
        <v>452</v>
      </c>
      <c r="F57" s="15"/>
      <c r="G57" s="15" t="s">
        <v>143</v>
      </c>
      <c r="H57" s="15" t="s">
        <v>154</v>
      </c>
      <c r="I57" s="15" t="n">
        <v>20</v>
      </c>
      <c r="J57" s="15" t="n">
        <v>10</v>
      </c>
      <c r="K57" s="15" t="n">
        <v>5</v>
      </c>
      <c r="L57" s="15" t="n">
        <v>2</v>
      </c>
      <c r="M57" s="16" t="n">
        <v>14.4</v>
      </c>
      <c r="N57" s="16" t="s">
        <v>453</v>
      </c>
      <c r="O57" s="16" t="s">
        <v>454</v>
      </c>
      <c r="P57" s="11" t="s">
        <v>88</v>
      </c>
      <c r="Q57" s="11" t="n">
        <v>2024</v>
      </c>
      <c r="R57" s="11"/>
      <c r="S57" s="15" t="str">
        <f aca="false">IF($M57="","",IF(ISNUMBER($M57),"Measured",IF(ISNUMBER(SEARCH("DATA GAP",UPPER($M57))),"Gap",IF(AND($N57&lt;&gt;"",$P57&lt;&gt;"T5"),"Documented","Judged"))))</f>
        <v>Measured</v>
      </c>
      <c r="T57" s="15" t="n">
        <f aca="false">IF($AC57&lt;&gt;"","",IF(OR($S57="",$S57="Gap"),"",IF($S57="Measured",1+IF($H57="H",IF($M57&gt;=$I57,1,0)+IF($M57&gt;=$J57,1,0)+IF($M57&gt;=$K57,1,0)+IF($M57&gt;=$L57,1,0),IF($M57&lt;=$I57,1,0)+IF($M57&lt;=$J57,1,0)+IF($M57&lt;=$K57,1,0)+IF($M57&lt;=$L57,1,0)),IF($R57&lt;&gt;"",$R57,""))))</f>
        <v>2</v>
      </c>
      <c r="U57" s="15" t="str">
        <f aca="false">IF(OR($S57="",$S57="Gap",$Q57=""),"",IF($Q57&lt;Config!$C$2-Config!$C$3,"STALE",""))</f>
        <v/>
      </c>
      <c r="V57" s="15" t="n">
        <f aca="false">IF(OR(ISNUMBER(SEARCH("ALL",$E57)),ISNUMBER(SEARCH("ADV",$E57))),1,0)</f>
        <v>0</v>
      </c>
      <c r="W57" s="15" t="n">
        <f aca="false">IF(OR(ISNUMBER(SEARCH("ALL",$E57)),ISNUMBER(SEARCH("SMF",$E57))),1,0)</f>
        <v>0</v>
      </c>
      <c r="X57" s="15" t="n">
        <f aca="false">IF(OR(ISNUMBER(SEARCH("ALL",$E57)),ISNUMBER(SEARCH("MKT",$E57))),1,0)</f>
        <v>0</v>
      </c>
      <c r="Y57" s="15" t="n">
        <f aca="false">IF(OR(ISNUMBER(SEARCH("ALL",$E57)),ISNUMBER(SEARCH("SCM",$E57))),1,0)</f>
        <v>0</v>
      </c>
      <c r="Z57" s="15" t="n">
        <f aca="false">IF(OR(ISNUMBER(SEARCH("ALL",$E57)),ISNUMBER(SEARCH("FIN",$E57))),1,0)</f>
        <v>0</v>
      </c>
      <c r="AA57" s="15" t="n">
        <f aca="false">IF(OR(ISNUMBER(SEARCH("ALL",$E57)),ISNUMBER(SEARCH("AGI",$E57))),1,0)</f>
        <v>0</v>
      </c>
      <c r="AB57" s="17" t="s">
        <v>455</v>
      </c>
    </row>
    <row r="58" customFormat="false" ht="46.25" hidden="false" customHeight="false" outlineLevel="0" collapsed="false">
      <c r="A58" s="15" t="s">
        <v>456</v>
      </c>
      <c r="B58" s="10" t="s">
        <v>457</v>
      </c>
      <c r="C58" s="15" t="s">
        <v>440</v>
      </c>
      <c r="D58" s="15" t="s">
        <v>441</v>
      </c>
      <c r="E58" s="15" t="s">
        <v>458</v>
      </c>
      <c r="F58" s="15"/>
      <c r="G58" s="15" t="s">
        <v>143</v>
      </c>
      <c r="H58" s="15" t="s">
        <v>144</v>
      </c>
      <c r="I58" s="15" t="n">
        <v>10</v>
      </c>
      <c r="J58" s="15" t="n">
        <v>25</v>
      </c>
      <c r="K58" s="15" t="n">
        <v>50</v>
      </c>
      <c r="L58" s="15" t="n">
        <v>75</v>
      </c>
      <c r="M58" s="16" t="s">
        <v>459</v>
      </c>
      <c r="N58" s="16" t="s">
        <v>460</v>
      </c>
      <c r="O58" s="16" t="s">
        <v>461</v>
      </c>
      <c r="P58" s="11" t="s">
        <v>92</v>
      </c>
      <c r="Q58" s="11" t="n">
        <v>2023</v>
      </c>
      <c r="R58" s="11" t="n">
        <v>1</v>
      </c>
      <c r="S58" s="15" t="str">
        <f aca="false">IF($M58="","",IF(ISNUMBER($M58),"Measured",IF(ISNUMBER(SEARCH("DATA GAP",UPPER($M58))),"Gap",IF(AND($N58&lt;&gt;"",$P58&lt;&gt;"T5"),"Documented","Judged"))))</f>
        <v>Documented</v>
      </c>
      <c r="T58" s="15" t="n">
        <f aca="false">IF($AC58&lt;&gt;"","",IF(OR($S58="",$S58="Gap"),"",IF($S58="Measured",1+IF($H58="H",IF($M58&gt;=$I58,1,0)+IF($M58&gt;=$J58,1,0)+IF($M58&gt;=$K58,1,0)+IF($M58&gt;=$L58,1,0),IF($M58&lt;=$I58,1,0)+IF($M58&lt;=$J58,1,0)+IF($M58&lt;=$K58,1,0)+IF($M58&lt;=$L58,1,0)),IF($R58&lt;&gt;"",$R58,""))))</f>
        <v>1</v>
      </c>
      <c r="U58" s="15" t="str">
        <f aca="false">IF(OR($S58="",$S58="Gap",$Q58=""),"",IF($Q58&lt;Config!$C$2-Config!$C$3,"STALE",""))</f>
        <v/>
      </c>
      <c r="V58" s="15" t="n">
        <f aca="false">IF(OR(ISNUMBER(SEARCH("ALL",$E58)),ISNUMBER(SEARCH("ADV",$E58))),1,0)</f>
        <v>1</v>
      </c>
      <c r="W58" s="15" t="n">
        <f aca="false">IF(OR(ISNUMBER(SEARCH("ALL",$E58)),ISNUMBER(SEARCH("SMF",$E58))),1,0)</f>
        <v>1</v>
      </c>
      <c r="X58" s="15" t="n">
        <f aca="false">IF(OR(ISNUMBER(SEARCH("ALL",$E58)),ISNUMBER(SEARCH("MKT",$E58))),1,0)</f>
        <v>1</v>
      </c>
      <c r="Y58" s="15" t="n">
        <f aca="false">IF(OR(ISNUMBER(SEARCH("ALL",$E58)),ISNUMBER(SEARCH("SCM",$E58))),1,0)</f>
        <v>1</v>
      </c>
      <c r="Z58" s="15" t="n">
        <f aca="false">IF(OR(ISNUMBER(SEARCH("ALL",$E58)),ISNUMBER(SEARCH("FIN",$E58))),1,0)</f>
        <v>1</v>
      </c>
      <c r="AA58" s="15" t="n">
        <f aca="false">IF(OR(ISNUMBER(SEARCH("ALL",$E58)),ISNUMBER(SEARCH("AGI",$E58))),1,0)</f>
        <v>1</v>
      </c>
      <c r="AB58" s="17" t="s">
        <v>462</v>
      </c>
    </row>
    <row r="59" customFormat="false" ht="79.85" hidden="false" customHeight="false" outlineLevel="0" collapsed="false">
      <c r="A59" s="15" t="s">
        <v>463</v>
      </c>
      <c r="B59" s="10" t="s">
        <v>464</v>
      </c>
      <c r="C59" s="15" t="s">
        <v>440</v>
      </c>
      <c r="D59" s="15" t="s">
        <v>441</v>
      </c>
      <c r="E59" s="15" t="s">
        <v>465</v>
      </c>
      <c r="F59" s="15"/>
      <c r="G59" s="15" t="s">
        <v>143</v>
      </c>
      <c r="H59" s="15" t="s">
        <v>144</v>
      </c>
      <c r="I59" s="15" t="n">
        <v>25</v>
      </c>
      <c r="J59" s="15" t="n">
        <v>50</v>
      </c>
      <c r="K59" s="15" t="n">
        <v>75</v>
      </c>
      <c r="L59" s="15" t="n">
        <v>90</v>
      </c>
      <c r="M59" s="16" t="s">
        <v>466</v>
      </c>
      <c r="N59" s="16" t="s">
        <v>467</v>
      </c>
      <c r="O59" s="16" t="s">
        <v>468</v>
      </c>
      <c r="P59" s="11" t="s">
        <v>96</v>
      </c>
      <c r="Q59" s="11" t="n">
        <v>2025</v>
      </c>
      <c r="R59" s="11" t="n">
        <v>5</v>
      </c>
      <c r="S59" s="15" t="str">
        <f aca="false">IF($M59="","",IF(ISNUMBER($M59),"Measured",IF(ISNUMBER(SEARCH("DATA GAP",UPPER($M59))),"Gap",IF(AND($N59&lt;&gt;"",$P59&lt;&gt;"T5"),"Documented","Judged"))))</f>
        <v>Documented</v>
      </c>
      <c r="T59" s="15" t="n">
        <f aca="false">IF($AC59&lt;&gt;"","",IF(OR($S59="",$S59="Gap"),"",IF($S59="Measured",1+IF($H59="H",IF($M59&gt;=$I59,1,0)+IF($M59&gt;=$J59,1,0)+IF($M59&gt;=$K59,1,0)+IF($M59&gt;=$L59,1,0),IF($M59&lt;=$I59,1,0)+IF($M59&lt;=$J59,1,0)+IF($M59&lt;=$K59,1,0)+IF($M59&lt;=$L59,1,0)),IF($R59&lt;&gt;"",$R59,""))))</f>
        <v>5</v>
      </c>
      <c r="U59" s="15" t="str">
        <f aca="false">IF(OR($S59="",$S59="Gap",$Q59=""),"",IF($Q59&lt;Config!$C$2-Config!$C$3,"STALE",""))</f>
        <v/>
      </c>
      <c r="V59" s="15" t="n">
        <f aca="false">IF(OR(ISNUMBER(SEARCH("ALL",$E59)),ISNUMBER(SEARCH("ADV",$E59))),1,0)</f>
        <v>1</v>
      </c>
      <c r="W59" s="15" t="n">
        <f aca="false">IF(OR(ISNUMBER(SEARCH("ALL",$E59)),ISNUMBER(SEARCH("SMF",$E59))),1,0)</f>
        <v>0</v>
      </c>
      <c r="X59" s="15" t="n">
        <f aca="false">IF(OR(ISNUMBER(SEARCH("ALL",$E59)),ISNUMBER(SEARCH("MKT",$E59))),1,0)</f>
        <v>0</v>
      </c>
      <c r="Y59" s="15" t="n">
        <f aca="false">IF(OR(ISNUMBER(SEARCH("ALL",$E59)),ISNUMBER(SEARCH("SCM",$E59))),1,0)</f>
        <v>0</v>
      </c>
      <c r="Z59" s="15" t="n">
        <f aca="false">IF(OR(ISNUMBER(SEARCH("ALL",$E59)),ISNUMBER(SEARCH("FIN",$E59))),1,0)</f>
        <v>0</v>
      </c>
      <c r="AA59" s="15" t="n">
        <f aca="false">IF(OR(ISNUMBER(SEARCH("ALL",$E59)),ISNUMBER(SEARCH("AGI",$E59))),1,0)</f>
        <v>0</v>
      </c>
      <c r="AB59" s="17" t="s">
        <v>469</v>
      </c>
    </row>
    <row r="60" customFormat="false" ht="57.45" hidden="false" customHeight="false" outlineLevel="0" collapsed="false">
      <c r="A60" s="15" t="s">
        <v>470</v>
      </c>
      <c r="B60" s="10" t="s">
        <v>471</v>
      </c>
      <c r="C60" s="15" t="s">
        <v>440</v>
      </c>
      <c r="D60" s="15" t="s">
        <v>441</v>
      </c>
      <c r="E60" s="15" t="s">
        <v>203</v>
      </c>
      <c r="F60" s="15"/>
      <c r="G60" s="15" t="s">
        <v>154</v>
      </c>
      <c r="H60" s="15"/>
      <c r="M60" s="16" t="s">
        <v>472</v>
      </c>
      <c r="N60" s="16" t="s">
        <v>473</v>
      </c>
      <c r="O60" s="16" t="s">
        <v>349</v>
      </c>
      <c r="P60" s="11" t="s">
        <v>92</v>
      </c>
      <c r="Q60" s="11" t="n">
        <v>2025</v>
      </c>
      <c r="R60" s="11" t="n">
        <v>3</v>
      </c>
      <c r="S60" s="15" t="str">
        <f aca="false">IF($M60="","",IF(ISNUMBER($M60),"Measured",IF(ISNUMBER(SEARCH("DATA GAP",UPPER($M60))),"Gap",IF(AND($N60&lt;&gt;"",$P60&lt;&gt;"T5"),"Documented","Judged"))))</f>
        <v>Documented</v>
      </c>
      <c r="T60" s="15" t="n">
        <f aca="false">IF($AC60&lt;&gt;"","",IF(OR($S60="",$S60="Gap"),"",IF($S60="Measured",1+IF($H60="H",IF($M60&gt;=$I60,1,0)+IF($M60&gt;=$J60,1,0)+IF($M60&gt;=$K60,1,0)+IF($M60&gt;=$L60,1,0),IF($M60&lt;=$I60,1,0)+IF($M60&lt;=$J60,1,0)+IF($M60&lt;=$K60,1,0)+IF($M60&lt;=$L60,1,0)),IF($R60&lt;&gt;"",$R60,""))))</f>
        <v>3</v>
      </c>
      <c r="U60" s="15" t="str">
        <f aca="false">IF(OR($S60="",$S60="Gap",$Q60=""),"",IF($Q60&lt;Config!$C$2-Config!$C$3,"STALE",""))</f>
        <v/>
      </c>
      <c r="V60" s="15" t="n">
        <f aca="false">IF(OR(ISNUMBER(SEARCH("ALL",$E60)),ISNUMBER(SEARCH("ADV",$E60))),1,0)</f>
        <v>1</v>
      </c>
      <c r="W60" s="15" t="n">
        <f aca="false">IF(OR(ISNUMBER(SEARCH("ALL",$E60)),ISNUMBER(SEARCH("SMF",$E60))),1,0)</f>
        <v>1</v>
      </c>
      <c r="X60" s="15" t="n">
        <f aca="false">IF(OR(ISNUMBER(SEARCH("ALL",$E60)),ISNUMBER(SEARCH("MKT",$E60))),1,0)</f>
        <v>1</v>
      </c>
      <c r="Y60" s="15" t="n">
        <f aca="false">IF(OR(ISNUMBER(SEARCH("ALL",$E60)),ISNUMBER(SEARCH("SCM",$E60))),1,0)</f>
        <v>1</v>
      </c>
      <c r="Z60" s="15" t="n">
        <f aca="false">IF(OR(ISNUMBER(SEARCH("ALL",$E60)),ISNUMBER(SEARCH("FIN",$E60))),1,0)</f>
        <v>1</v>
      </c>
      <c r="AA60" s="15" t="n">
        <f aca="false">IF(OR(ISNUMBER(SEARCH("ALL",$E60)),ISNUMBER(SEARCH("AGI",$E60))),1,0)</f>
        <v>1</v>
      </c>
      <c r="AB60" s="17" t="s">
        <v>474</v>
      </c>
    </row>
    <row r="61" customFormat="false" ht="158.2" hidden="false" customHeight="false" outlineLevel="0" collapsed="false">
      <c r="A61" s="15" t="s">
        <v>475</v>
      </c>
      <c r="B61" s="10" t="s">
        <v>476</v>
      </c>
      <c r="C61" s="15" t="s">
        <v>440</v>
      </c>
      <c r="D61" s="15" t="s">
        <v>441</v>
      </c>
      <c r="E61" s="15" t="s">
        <v>353</v>
      </c>
      <c r="F61" s="15"/>
      <c r="G61" s="15" t="s">
        <v>143</v>
      </c>
      <c r="H61" s="15" t="s">
        <v>144</v>
      </c>
      <c r="I61" s="15" t="n">
        <v>20</v>
      </c>
      <c r="J61" s="15" t="n">
        <v>40</v>
      </c>
      <c r="K61" s="15" t="n">
        <v>60</v>
      </c>
      <c r="L61" s="15" t="n">
        <v>80</v>
      </c>
      <c r="M61" s="16" t="s">
        <v>477</v>
      </c>
      <c r="N61" s="16" t="s">
        <v>206</v>
      </c>
      <c r="O61" s="16"/>
      <c r="P61" s="11"/>
      <c r="Q61" s="11" t="n">
        <v>2026</v>
      </c>
      <c r="R61" s="11"/>
      <c r="S61" s="15" t="str">
        <f aca="false">IF($M61="","",IF(ISNUMBER($M61),"Measured",IF(ISNUMBER(SEARCH("DATA GAP",UPPER($M61))),"Gap",IF(AND($N61&lt;&gt;"",$P61&lt;&gt;"T5"),"Documented","Judged"))))</f>
        <v>Gap</v>
      </c>
      <c r="T61" s="15" t="str">
        <f aca="false">IF($AC61&lt;&gt;"","",IF(OR($S61="",$S61="Gap"),"",IF($S61="Measured",1+IF($H61="H",IF($M61&gt;=$I61,1,0)+IF($M61&gt;=$J61,1,0)+IF($M61&gt;=$K61,1,0)+IF($M61&gt;=$L61,1,0),IF($M61&lt;=$I61,1,0)+IF($M61&lt;=$J61,1,0)+IF($M61&lt;=$K61,1,0)+IF($M61&lt;=$L61,1,0)),IF($R61&lt;&gt;"",$R61,""))))</f>
        <v/>
      </c>
      <c r="U61" s="15" t="str">
        <f aca="false">IF(OR($S61="",$S61="Gap",$Q61=""),"",IF($Q61&lt;Config!$C$2-Config!$C$3,"STALE",""))</f>
        <v/>
      </c>
      <c r="V61" s="15" t="n">
        <f aca="false">IF(OR(ISNUMBER(SEARCH("ALL",$E61)),ISNUMBER(SEARCH("ADV",$E61))),1,0)</f>
        <v>1</v>
      </c>
      <c r="W61" s="15" t="n">
        <f aca="false">IF(OR(ISNUMBER(SEARCH("ALL",$E61)),ISNUMBER(SEARCH("SMF",$E61))),1,0)</f>
        <v>0</v>
      </c>
      <c r="X61" s="15" t="n">
        <f aca="false">IF(OR(ISNUMBER(SEARCH("ALL",$E61)),ISNUMBER(SEARCH("MKT",$E61))),1,0)</f>
        <v>0</v>
      </c>
      <c r="Y61" s="15" t="n">
        <f aca="false">IF(OR(ISNUMBER(SEARCH("ALL",$E61)),ISNUMBER(SEARCH("SCM",$E61))),1,0)</f>
        <v>0</v>
      </c>
      <c r="Z61" s="15" t="n">
        <f aca="false">IF(OR(ISNUMBER(SEARCH("ALL",$E61)),ISNUMBER(SEARCH("FIN",$E61))),1,0)</f>
        <v>0</v>
      </c>
      <c r="AA61" s="15" t="n">
        <f aca="false">IF(OR(ISNUMBER(SEARCH("ALL",$E61)),ISNUMBER(SEARCH("AGI",$E61))),1,0)</f>
        <v>0</v>
      </c>
      <c r="AB61" s="17" t="s">
        <v>478</v>
      </c>
    </row>
    <row r="64" customFormat="false" ht="15" hidden="false" customHeight="false" outlineLevel="0" collapsed="false">
      <c r="A64" s="18" t="s">
        <v>479</v>
      </c>
    </row>
    <row r="65" customFormat="false" ht="15" hidden="false" customHeight="false" outlineLevel="0" collapsed="false">
      <c r="A65" s="8" t="s">
        <v>115</v>
      </c>
      <c r="B65" s="8" t="s">
        <v>480</v>
      </c>
      <c r="C65" s="8" t="s">
        <v>481</v>
      </c>
      <c r="D65" s="8" t="s">
        <v>482</v>
      </c>
      <c r="E65" s="8" t="s">
        <v>483</v>
      </c>
      <c r="F65" s="8" t="s">
        <v>484</v>
      </c>
      <c r="G65" s="8" t="s">
        <v>485</v>
      </c>
      <c r="H65" s="8" t="s">
        <v>486</v>
      </c>
      <c r="I65" s="8" t="s">
        <v>487</v>
      </c>
      <c r="J65" s="8" t="s">
        <v>488</v>
      </c>
      <c r="K65" s="8" t="s">
        <v>129</v>
      </c>
    </row>
    <row r="66" customFormat="false" ht="15" hidden="false" customHeight="false" outlineLevel="0" collapsed="false">
      <c r="A66" s="9" t="s">
        <v>140</v>
      </c>
      <c r="B66" s="15" t="n">
        <f aca="false">COUNTIF($C$5:$C$61,$A66)</f>
        <v>10</v>
      </c>
      <c r="C66" s="15" t="n">
        <f aca="false">COUNTIFS($C$5:$C$61,$A66,$T$5:$T$61,"&gt;0")</f>
        <v>8</v>
      </c>
      <c r="D66" s="15" t="n">
        <f aca="false">IFERROR(ROUND(AVERAGEIF($C$5:$C$61,$A66,$T$5:$T$61),2),"")</f>
        <v>3</v>
      </c>
      <c r="E66" s="9" t="str">
        <f aca="false">IF($D66="","Not rated",IF((COUNTIFS($C$5:$C$61,$A66,$S$5:$S$61,"Judged",$T$5:$T$61,"&gt;0")+$I66+$J66)&gt;($C66-COUNTIFS($C$5:$C$61,$A66,$S$5:$S$61,"Judged",$T$5:$T$61,"&gt;0")),"("&amp;IF($D66&lt;1.8,"Nascent",IF($D66&lt;2.6,"Emerging",IF($D66&lt;3.4,"Established",IF($D66&lt;4.2,"Advanced","Transformative"))))&amp;")",IF($D66&lt;1.8,"Nascent",IF($D66&lt;2.6,"Emerging",IF($D66&lt;3.4,"Established",IF($D66&lt;4.2,"Advanced","Transformative"))))))</f>
        <v>Established</v>
      </c>
      <c r="F66" s="15" t="n">
        <f aca="false">COUNTIFS($C$5:$C$61,$A66,$S$5:$S$61,"Measured")</f>
        <v>6</v>
      </c>
      <c r="G66" s="15" t="n">
        <f aca="false">COUNTIFS($C$5:$C$61,$A66,$S$5:$S$61,"Documented")</f>
        <v>4</v>
      </c>
      <c r="H66" s="15" t="n">
        <f aca="false">COUNTIFS($C$5:$C$61,$A66,$S$5:$S$61,"Judged")</f>
        <v>0</v>
      </c>
      <c r="I66" s="15" t="n">
        <f aca="false">COUNTIFS($C$5:$C$61,$A66,$S$5:$S$61,"Gap")</f>
        <v>0</v>
      </c>
      <c r="J66" s="15" t="n">
        <f aca="false">COUNTIFS($C$5:$C$61,$A66,$AC$5:$AC$61,"&lt;&gt;")</f>
        <v>2</v>
      </c>
      <c r="K66" s="15" t="n">
        <f aca="false">COUNTIFS($C$5:$C$61,$A66,$U$5:$U$61,"STALE")</f>
        <v>6</v>
      </c>
    </row>
    <row r="67" customFormat="false" ht="15" hidden="false" customHeight="false" outlineLevel="0" collapsed="false">
      <c r="A67" s="9" t="s">
        <v>202</v>
      </c>
      <c r="B67" s="15" t="n">
        <f aca="false">COUNTIF($C$5:$C$61,$A67)</f>
        <v>6</v>
      </c>
      <c r="C67" s="15" t="n">
        <f aca="false">COUNTIFS($C$5:$C$61,$A67,$T$5:$T$61,"&gt;0")</f>
        <v>5</v>
      </c>
      <c r="D67" s="15" t="n">
        <f aca="false">IFERROR(ROUND(AVERAGEIF($C$5:$C$61,$A67,$T$5:$T$61),2),"")</f>
        <v>3.8</v>
      </c>
      <c r="E67" s="9" t="str">
        <f aca="false">IF($D67="","Not rated",IF((COUNTIFS($C$5:$C$61,$A67,$S$5:$S$61,"Judged",$T$5:$T$61,"&gt;0")+$I67+$J67)&gt;($C67-COUNTIFS($C$5:$C$61,$A67,$S$5:$S$61,"Judged",$T$5:$T$61,"&gt;0")),"("&amp;IF($D67&lt;1.8,"Nascent",IF($D67&lt;2.6,"Emerging",IF($D67&lt;3.4,"Established",IF($D67&lt;4.2,"Advanced","Transformative"))))&amp;")",IF($D67&lt;1.8,"Nascent",IF($D67&lt;2.6,"Emerging",IF($D67&lt;3.4,"Established",IF($D67&lt;4.2,"Advanced","Transformative"))))))</f>
        <v>Advanced</v>
      </c>
      <c r="F67" s="15" t="n">
        <f aca="false">COUNTIFS($C$5:$C$61,$A67,$S$5:$S$61,"Measured")</f>
        <v>4</v>
      </c>
      <c r="G67" s="15" t="n">
        <f aca="false">COUNTIFS($C$5:$C$61,$A67,$S$5:$S$61,"Documented")</f>
        <v>1</v>
      </c>
      <c r="H67" s="15" t="n">
        <f aca="false">COUNTIFS($C$5:$C$61,$A67,$S$5:$S$61,"Judged")</f>
        <v>0</v>
      </c>
      <c r="I67" s="15" t="n">
        <f aca="false">COUNTIFS($C$5:$C$61,$A67,$S$5:$S$61,"Gap")</f>
        <v>1</v>
      </c>
      <c r="J67" s="15" t="n">
        <f aca="false">COUNTIFS($C$5:$C$61,$A67,$AC$5:$AC$61,"&lt;&gt;")</f>
        <v>0</v>
      </c>
      <c r="K67" s="15" t="n">
        <f aca="false">COUNTIFS($C$5:$C$61,$A67,$U$5:$U$61,"STALE")</f>
        <v>1</v>
      </c>
    </row>
    <row r="68" customFormat="false" ht="15" hidden="false" customHeight="false" outlineLevel="0" collapsed="false">
      <c r="A68" s="9" t="s">
        <v>234</v>
      </c>
      <c r="B68" s="15" t="n">
        <f aca="false">COUNTIF($C$5:$C$61,$A68)</f>
        <v>8</v>
      </c>
      <c r="C68" s="15" t="n">
        <f aca="false">COUNTIFS($C$5:$C$61,$A68,$T$5:$T$61,"&gt;0")</f>
        <v>8</v>
      </c>
      <c r="D68" s="15" t="n">
        <f aca="false">IFERROR(ROUND(AVERAGEIF($C$5:$C$61,$A68,$T$5:$T$61),2),"")</f>
        <v>2.88</v>
      </c>
      <c r="E68" s="9" t="str">
        <f aca="false">IF($D68="","Not rated",IF((COUNTIFS($C$5:$C$61,$A68,$S$5:$S$61,"Judged",$T$5:$T$61,"&gt;0")+$I68+$J68)&gt;($C68-COUNTIFS($C$5:$C$61,$A68,$S$5:$S$61,"Judged",$T$5:$T$61,"&gt;0")),"("&amp;IF($D68&lt;1.8,"Nascent",IF($D68&lt;2.6,"Emerging",IF($D68&lt;3.4,"Established",IF($D68&lt;4.2,"Advanced","Transformative"))))&amp;")",IF($D68&lt;1.8,"Nascent",IF($D68&lt;2.6,"Emerging",IF($D68&lt;3.4,"Established",IF($D68&lt;4.2,"Advanced","Transformative"))))))</f>
        <v>Established</v>
      </c>
      <c r="F68" s="15" t="n">
        <f aca="false">COUNTIFS($C$5:$C$61,$A68,$S$5:$S$61,"Measured")</f>
        <v>1</v>
      </c>
      <c r="G68" s="15" t="n">
        <f aca="false">COUNTIFS($C$5:$C$61,$A68,$S$5:$S$61,"Documented")</f>
        <v>7</v>
      </c>
      <c r="H68" s="15" t="n">
        <f aca="false">COUNTIFS($C$5:$C$61,$A68,$S$5:$S$61,"Judged")</f>
        <v>0</v>
      </c>
      <c r="I68" s="15" t="n">
        <f aca="false">COUNTIFS($C$5:$C$61,$A68,$S$5:$S$61,"Gap")</f>
        <v>0</v>
      </c>
      <c r="J68" s="15" t="n">
        <f aca="false">COUNTIFS($C$5:$C$61,$A68,$AC$5:$AC$61,"&lt;&gt;")</f>
        <v>0</v>
      </c>
      <c r="K68" s="15" t="n">
        <f aca="false">COUNTIFS($C$5:$C$61,$A68,$U$5:$U$61,"STALE")</f>
        <v>0</v>
      </c>
    </row>
    <row r="69" customFormat="false" ht="15" hidden="false" customHeight="false" outlineLevel="0" collapsed="false">
      <c r="A69" s="9" t="s">
        <v>290</v>
      </c>
      <c r="B69" s="15" t="n">
        <f aca="false">COUNTIF($C$5:$C$61,$A69)</f>
        <v>8</v>
      </c>
      <c r="C69" s="15" t="n">
        <f aca="false">COUNTIFS($C$5:$C$61,$A69,$T$5:$T$61,"&gt;0")</f>
        <v>8</v>
      </c>
      <c r="D69" s="15" t="n">
        <f aca="false">IFERROR(ROUND(AVERAGEIF($C$5:$C$61,$A69,$T$5:$T$61),2),"")</f>
        <v>3.25</v>
      </c>
      <c r="E69" s="9" t="str">
        <f aca="false">IF($D69="","Not rated",IF((COUNTIFS($C$5:$C$61,$A69,$S$5:$S$61,"Judged",$T$5:$T$61,"&gt;0")+$I69+$J69)&gt;($C69-COUNTIFS($C$5:$C$61,$A69,$S$5:$S$61,"Judged",$T$5:$T$61,"&gt;0")),"("&amp;IF($D69&lt;1.8,"Nascent",IF($D69&lt;2.6,"Emerging",IF($D69&lt;3.4,"Established",IF($D69&lt;4.2,"Advanced","Transformative"))))&amp;")",IF($D69&lt;1.8,"Nascent",IF($D69&lt;2.6,"Emerging",IF($D69&lt;3.4,"Established",IF($D69&lt;4.2,"Advanced","Transformative"))))))</f>
        <v>Established</v>
      </c>
      <c r="F69" s="15" t="n">
        <f aca="false">COUNTIFS($C$5:$C$61,$A69,$S$5:$S$61,"Measured")</f>
        <v>3</v>
      </c>
      <c r="G69" s="15" t="n">
        <f aca="false">COUNTIFS($C$5:$C$61,$A69,$S$5:$S$61,"Documented")</f>
        <v>5</v>
      </c>
      <c r="H69" s="15" t="n">
        <f aca="false">COUNTIFS($C$5:$C$61,$A69,$S$5:$S$61,"Judged")</f>
        <v>0</v>
      </c>
      <c r="I69" s="15" t="n">
        <f aca="false">COUNTIFS($C$5:$C$61,$A69,$S$5:$S$61,"Gap")</f>
        <v>0</v>
      </c>
      <c r="J69" s="15" t="n">
        <f aca="false">COUNTIFS($C$5:$C$61,$A69,$AC$5:$AC$61,"&lt;&gt;")</f>
        <v>0</v>
      </c>
      <c r="K69" s="15" t="n">
        <f aca="false">COUNTIFS($C$5:$C$61,$A69,$U$5:$U$61,"STALE")</f>
        <v>2</v>
      </c>
    </row>
    <row r="70" customFormat="false" ht="15" hidden="false" customHeight="false" outlineLevel="0" collapsed="false">
      <c r="A70" s="9" t="s">
        <v>337</v>
      </c>
      <c r="B70" s="15" t="n">
        <f aca="false">COUNTIF($C$5:$C$61,$A70)</f>
        <v>7</v>
      </c>
      <c r="C70" s="15" t="n">
        <f aca="false">COUNTIFS($C$5:$C$61,$A70,$T$5:$T$61,"&gt;0")</f>
        <v>3</v>
      </c>
      <c r="D70" s="15" t="n">
        <f aca="false">IFERROR(ROUND(AVERAGEIF($C$5:$C$61,$A70,$T$5:$T$61),2),"")</f>
        <v>3.33</v>
      </c>
      <c r="E70" s="9" t="str">
        <f aca="false">IF($D70="","Not rated",IF((COUNTIFS($C$5:$C$61,$A70,$S$5:$S$61,"Judged",$T$5:$T$61,"&gt;0")+$I70+$J70)&gt;($C70-COUNTIFS($C$5:$C$61,$A70,$S$5:$S$61,"Judged",$T$5:$T$61,"&gt;0")),"("&amp;IF($D70&lt;1.8,"Nascent",IF($D70&lt;2.6,"Emerging",IF($D70&lt;3.4,"Established",IF($D70&lt;4.2,"Advanced","Transformative"))))&amp;")",IF($D70&lt;1.8,"Nascent",IF($D70&lt;2.6,"Emerging",IF($D70&lt;3.4,"Established",IF($D70&lt;4.2,"Advanced","Transformative"))))))</f>
        <v>(Established)</v>
      </c>
      <c r="F70" s="15" t="n">
        <f aca="false">COUNTIFS($C$5:$C$61,$A70,$S$5:$S$61,"Measured")</f>
        <v>2</v>
      </c>
      <c r="G70" s="15" t="n">
        <f aca="false">COUNTIFS($C$5:$C$61,$A70,$S$5:$S$61,"Documented")</f>
        <v>4</v>
      </c>
      <c r="H70" s="15" t="n">
        <f aca="false">COUNTIFS($C$5:$C$61,$A70,$S$5:$S$61,"Judged")</f>
        <v>0</v>
      </c>
      <c r="I70" s="15" t="n">
        <f aca="false">COUNTIFS($C$5:$C$61,$A70,$S$5:$S$61,"Gap")</f>
        <v>1</v>
      </c>
      <c r="J70" s="15" t="n">
        <f aca="false">COUNTIFS($C$5:$C$61,$A70,$AC$5:$AC$61,"&lt;&gt;")</f>
        <v>3</v>
      </c>
      <c r="K70" s="15" t="n">
        <f aca="false">COUNTIFS($C$5:$C$61,$A70,$U$5:$U$61,"STALE")</f>
        <v>2</v>
      </c>
    </row>
    <row r="71" customFormat="false" ht="15" hidden="false" customHeight="false" outlineLevel="0" collapsed="false">
      <c r="A71" s="9" t="s">
        <v>377</v>
      </c>
      <c r="B71" s="15" t="n">
        <f aca="false">COUNTIF($C$5:$C$61,$A71)</f>
        <v>11</v>
      </c>
      <c r="C71" s="15" t="n">
        <f aca="false">COUNTIFS($C$5:$C$61,$A71,$T$5:$T$61,"&gt;0")</f>
        <v>9</v>
      </c>
      <c r="D71" s="15" t="n">
        <f aca="false">IFERROR(ROUND(AVERAGEIF($C$5:$C$61,$A71,$T$5:$T$61),2),"")</f>
        <v>3.11</v>
      </c>
      <c r="E71" s="9" t="str">
        <f aca="false">IF($D71="","Not rated",IF((COUNTIFS($C$5:$C$61,$A71,$S$5:$S$61,"Judged",$T$5:$T$61,"&gt;0")+$I71+$J71)&gt;($C71-COUNTIFS($C$5:$C$61,$A71,$S$5:$S$61,"Judged",$T$5:$T$61,"&gt;0")),"("&amp;IF($D71&lt;1.8,"Nascent",IF($D71&lt;2.6,"Emerging",IF($D71&lt;3.4,"Established",IF($D71&lt;4.2,"Advanced","Transformative"))))&amp;")",IF($D71&lt;1.8,"Nascent",IF($D71&lt;2.6,"Emerging",IF($D71&lt;3.4,"Established",IF($D71&lt;4.2,"Advanced","Transformative"))))))</f>
        <v>Established</v>
      </c>
      <c r="F71" s="15" t="n">
        <f aca="false">COUNTIFS($C$5:$C$61,$A71,$S$5:$S$61,"Measured")</f>
        <v>1</v>
      </c>
      <c r="G71" s="15" t="n">
        <f aca="false">COUNTIFS($C$5:$C$61,$A71,$S$5:$S$61,"Documented")</f>
        <v>8</v>
      </c>
      <c r="H71" s="15" t="n">
        <f aca="false">COUNTIFS($C$5:$C$61,$A71,$S$5:$S$61,"Judged")</f>
        <v>0</v>
      </c>
      <c r="I71" s="15" t="n">
        <f aca="false">COUNTIFS($C$5:$C$61,$A71,$S$5:$S$61,"Gap")</f>
        <v>2</v>
      </c>
      <c r="J71" s="15" t="n">
        <f aca="false">COUNTIFS($C$5:$C$61,$A71,$AC$5:$AC$61,"&lt;&gt;")</f>
        <v>0</v>
      </c>
      <c r="K71" s="15" t="n">
        <f aca="false">COUNTIFS($C$5:$C$61,$A71,$U$5:$U$61,"STALE")</f>
        <v>0</v>
      </c>
    </row>
    <row r="72" customFormat="false" ht="15" hidden="false" customHeight="false" outlineLevel="0" collapsed="false">
      <c r="A72" s="9" t="s">
        <v>440</v>
      </c>
      <c r="B72" s="15" t="n">
        <f aca="false">COUNTIF($C$5:$C$61,$A72)</f>
        <v>7</v>
      </c>
      <c r="C72" s="15" t="n">
        <f aca="false">COUNTIFS($C$5:$C$61,$A72,$T$5:$T$61,"&gt;0")</f>
        <v>6</v>
      </c>
      <c r="D72" s="15" t="n">
        <f aca="false">IFERROR(ROUND(AVERAGEIF($C$5:$C$61,$A72,$T$5:$T$61),2),"")</f>
        <v>2.67</v>
      </c>
      <c r="E72" s="9" t="str">
        <f aca="false">IF($D72="","Not rated",IF((COUNTIFS($C$5:$C$61,$A72,$S$5:$S$61,"Judged",$T$5:$T$61,"&gt;0")+$I72+$J72)&gt;($C72-COUNTIFS($C$5:$C$61,$A72,$S$5:$S$61,"Judged",$T$5:$T$61,"&gt;0")),"("&amp;IF($D72&lt;1.8,"Nascent",IF($D72&lt;2.6,"Emerging",IF($D72&lt;3.4,"Established",IF($D72&lt;4.2,"Advanced","Transformative"))))&amp;")",IF($D72&lt;1.8,"Nascent",IF($D72&lt;2.6,"Emerging",IF($D72&lt;3.4,"Established",IF($D72&lt;4.2,"Advanced","Transformative"))))))</f>
        <v>Established</v>
      </c>
      <c r="F72" s="15" t="n">
        <f aca="false">COUNTIFS($C$5:$C$61,$A72,$S$5:$S$61,"Measured")</f>
        <v>3</v>
      </c>
      <c r="G72" s="15" t="n">
        <f aca="false">COUNTIFS($C$5:$C$61,$A72,$S$5:$S$61,"Documented")</f>
        <v>3</v>
      </c>
      <c r="H72" s="15" t="n">
        <f aca="false">COUNTIFS($C$5:$C$61,$A72,$S$5:$S$61,"Judged")</f>
        <v>0</v>
      </c>
      <c r="I72" s="15" t="n">
        <f aca="false">COUNTIFS($C$5:$C$61,$A72,$S$5:$S$61,"Gap")</f>
        <v>1</v>
      </c>
      <c r="J72" s="15" t="n">
        <f aca="false">COUNTIFS($C$5:$C$61,$A72,$AC$5:$AC$61,"&lt;&gt;")</f>
        <v>0</v>
      </c>
      <c r="K72" s="15" t="n">
        <f aca="false">COUNTIFS($C$5:$C$61,$A72,$U$5:$U$61,"STALE")</f>
        <v>0</v>
      </c>
    </row>
    <row r="75" customFormat="false" ht="15" hidden="false" customHeight="false" outlineLevel="0" collapsed="false">
      <c r="A75" s="18" t="s">
        <v>489</v>
      </c>
    </row>
    <row r="76" customFormat="false" ht="15" hidden="false" customHeight="false" outlineLevel="0" collapsed="false">
      <c r="A76" s="9" t="s">
        <v>141</v>
      </c>
      <c r="B76" s="15" t="n">
        <f aca="false">IFERROR(ROUND(AVERAGEIF($D$5:$D$61,$A76,$T$5:$T$61),2),"")</f>
        <v>3.31</v>
      </c>
    </row>
    <row r="77" customFormat="false" ht="15" hidden="false" customHeight="false" outlineLevel="0" collapsed="false">
      <c r="A77" s="9" t="s">
        <v>235</v>
      </c>
      <c r="B77" s="15" t="n">
        <f aca="false">IFERROR(ROUND(AVERAGEIF($D$5:$D$61,$A77,$T$5:$T$61),2),"")</f>
        <v>2.9</v>
      </c>
    </row>
    <row r="78" customFormat="false" ht="15" hidden="false" customHeight="false" outlineLevel="0" collapsed="false">
      <c r="A78" s="9" t="s">
        <v>385</v>
      </c>
      <c r="B78" s="15" t="n">
        <f aca="false">IFERROR(ROUND(AVERAGEIF($D$5:$D$61,$A78,$T$5:$T$61),2),"")</f>
        <v>3.71</v>
      </c>
    </row>
    <row r="79" customFormat="false" ht="15" hidden="false" customHeight="false" outlineLevel="0" collapsed="false">
      <c r="A79" s="9" t="s">
        <v>441</v>
      </c>
      <c r="B79" s="15" t="n">
        <f aca="false">IFERROR(ROUND(AVERAGEIF($D$5:$D$61,$A79,$T$5:$T$61),2),"")</f>
        <v>2.67</v>
      </c>
    </row>
    <row r="81" customFormat="false" ht="15" hidden="false" customHeight="false" outlineLevel="0" collapsed="false">
      <c r="A81" s="5" t="s">
        <v>490</v>
      </c>
      <c r="B81" s="9" t="n">
        <f aca="false">IF(OR($B$76="",$B$78=""),"",ROUND($B$76-$B$78,2))</f>
        <v>-0.4</v>
      </c>
      <c r="C81" s="15" t="str">
        <f aca="false">IF($B$81="","",IF(ABS($B$81)&gt;Config!$C$5,IF($B$81&gt;0,"FLAG — unrealized foundations","FLAG — services ahead of their rails"),"No structural flag"))</f>
        <v>No structural flag</v>
      </c>
    </row>
    <row r="84" customFormat="false" ht="15" hidden="false" customHeight="false" outlineLevel="0" collapsed="false">
      <c r="A84" s="18" t="s">
        <v>491</v>
      </c>
    </row>
    <row r="85" customFormat="false" ht="15" hidden="false" customHeight="false" outlineLevel="0" collapsed="false">
      <c r="A85" s="8" t="s">
        <v>113</v>
      </c>
      <c r="B85" s="8" t="s">
        <v>492</v>
      </c>
      <c r="C85" s="8" t="s">
        <v>493</v>
      </c>
      <c r="D85" s="8" t="s">
        <v>494</v>
      </c>
    </row>
    <row r="86" customFormat="false" ht="15" hidden="false" customHeight="false" outlineLevel="0" collapsed="false">
      <c r="A86" s="15" t="s">
        <v>200</v>
      </c>
      <c r="B86" s="10" t="str">
        <f aca="false">INDEX($B$5:$B$61,MATCH($A86,$A$5:$A$61,0))</f>
        <v>Rural mobile broadband coverage (3G/4G)</v>
      </c>
      <c r="C86" s="15" t="s">
        <v>495</v>
      </c>
      <c r="D86" s="9" t="str">
        <f aca="false">IF(OR(INDEX($S$5:$S$61,MATCH($A86,$A$5:$A$61,0))="Gap",INDEX($S$5:$S$61,MATCH($A86,$A$5:$A$61,0))="",INDEX($T$5:$T$61,MATCH($A86,$A$5:$A$61,0))=""),"Unverified",IF(INDEX($T$5:$T$61,MATCH($A86,$A$5:$A$61,0))&gt;=3,"Present",IF(INDEX($T$5:$T$61,MATCH($A86,$A$5:$A$61,0))=2,"Present (narrow)","Absent")))</f>
        <v>Unverified</v>
      </c>
    </row>
    <row r="87" customFormat="false" ht="15" hidden="false" customHeight="false" outlineLevel="0" collapsed="false">
      <c r="A87" s="15" t="s">
        <v>222</v>
      </c>
      <c r="B87" s="10" t="str">
        <f aca="false">INDEX($B$5:$B$61,MATCH($A87,$A$5:$A$61,0))</f>
        <v>Rural electricity access (%)</v>
      </c>
      <c r="C87" s="15" t="s">
        <v>495</v>
      </c>
      <c r="D87" s="9" t="str">
        <f aca="false">IF(OR(INDEX($S$5:$S$61,MATCH($A87,$A$5:$A$61,0))="Gap",INDEX($S$5:$S$61,MATCH($A87,$A$5:$A$61,0))="",INDEX($T$5:$T$61,MATCH($A87,$A$5:$A$61,0))=""),"Unverified",IF(INDEX($T$5:$T$61,MATCH($A87,$A$5:$A$61,0))&gt;=3,"Present",IF(INDEX($T$5:$T$61,MATCH($A87,$A$5:$A$61,0))=2,"Present (narrow)","Absent")))</f>
        <v>Present</v>
      </c>
    </row>
    <row r="88" customFormat="false" ht="15" hidden="false" customHeight="false" outlineLevel="0" collapsed="false">
      <c r="A88" s="15" t="s">
        <v>288</v>
      </c>
      <c r="B88" s="10" t="str">
        <f aca="false">INDEX($B$5:$B$61,MATCH($A88,$A$5:$A$61,0))</f>
        <v>Data protection/privacy law</v>
      </c>
      <c r="C88" s="15" t="s">
        <v>495</v>
      </c>
      <c r="D88" s="9" t="str">
        <f aca="false">IF(OR(INDEX($S$5:$S$61,MATCH($A88,$A$5:$A$61,0))="Gap",INDEX($S$5:$S$61,MATCH($A88,$A$5:$A$61,0))="",INDEX($T$5:$T$61,MATCH($A88,$A$5:$A$61,0))=""),"Unverified",IF(INDEX($T$5:$T$61,MATCH($A88,$A$5:$A$61,0))&gt;=3,"Present",IF(INDEX($T$5:$T$61,MATCH($A88,$A$5:$A$61,0))=2,"Present (narrow)","Absent")))</f>
        <v>Present</v>
      </c>
    </row>
    <row r="89" customFormat="false" ht="15" hidden="false" customHeight="false" outlineLevel="0" collapsed="false">
      <c r="A89" s="15" t="s">
        <v>239</v>
      </c>
      <c r="B89" s="10" t="str">
        <f aca="false">INDEX($B$5:$B$61,MATCH($A89,$A$5:$A$61,0))</f>
        <v>National farmer registry</v>
      </c>
      <c r="C89" s="15" t="s">
        <v>496</v>
      </c>
      <c r="D89" s="9" t="str">
        <f aca="false">IF(OR(INDEX($S$5:$S$61,MATCH($A89,$A$5:$A$61,0))="Gap",INDEX($S$5:$S$61,MATCH($A89,$A$5:$A$61,0))="",INDEX($T$5:$T$61,MATCH($A89,$A$5:$A$61,0))=""),"Unverified",IF(INDEX($T$5:$T$61,MATCH($A89,$A$5:$A$61,0))&gt;=3,"Present",IF(INDEX($T$5:$T$61,MATCH($A89,$A$5:$A$61,0))=2,"Present (narrow)","Absent")))</f>
        <v>Present</v>
      </c>
    </row>
    <row r="90" customFormat="false" ht="15" hidden="false" customHeight="false" outlineLevel="0" collapsed="false">
      <c r="A90" s="15" t="s">
        <v>282</v>
      </c>
      <c r="B90" s="10" t="str">
        <f aca="false">INDEX($B$5:$B$61,MATCH($A90,$A$5:$A$61,0))</f>
        <v>Agricultural data interoperability standards</v>
      </c>
      <c r="C90" s="15" t="s">
        <v>497</v>
      </c>
      <c r="D90" s="9" t="str">
        <f aca="false">IF(OR(INDEX($S$5:$S$61,MATCH($A90,$A$5:$A$61,0))="Gap",INDEX($S$5:$S$61,MATCH($A90,$A$5:$A$61,0))="",INDEX($T$5:$T$61,MATCH($A90,$A$5:$A$61,0))=""),"Unverified",IF(INDEX($T$5:$T$61,MATCH($A90,$A$5:$A$61,0))&gt;=3,"Present",IF(INDEX($T$5:$T$61,MATCH($A90,$A$5:$A$61,0))=2,"Present (narrow)","Absent")))</f>
        <v>Absent</v>
      </c>
    </row>
    <row r="91" customFormat="false" ht="15" hidden="false" customHeight="false" outlineLevel="0" collapsed="false">
      <c r="A91" s="15" t="s">
        <v>310</v>
      </c>
      <c r="B91" s="10" t="str">
        <f aca="false">INDEX($B$5:$B$61,MATCH($A91,$A$5:$A$61,0))</f>
        <v>Agricultural data governance framework</v>
      </c>
      <c r="C91" s="15" t="s">
        <v>497</v>
      </c>
      <c r="D91" s="9" t="str">
        <f aca="false">IF(OR(INDEX($S$5:$S$61,MATCH($A91,$A$5:$A$61,0))="Gap",INDEX($S$5:$S$61,MATCH($A91,$A$5:$A$61,0))="",INDEX($T$5:$T$61,MATCH($A91,$A$5:$A$61,0))=""),"Unverified",IF(INDEX($T$5:$T$61,MATCH($A91,$A$5:$A$61,0))&gt;=3,"Present",IF(INDEX($T$5:$T$61,MATCH($A91,$A$5:$A$61,0))=2,"Present (narrow)","Absent")))</f>
        <v>Absent</v>
      </c>
    </row>
    <row r="92" customFormat="false" ht="15" hidden="false" customHeight="false" outlineLevel="0" collapsed="false">
      <c r="A92" s="15" t="s">
        <v>322</v>
      </c>
      <c r="B92" s="10" t="str">
        <f aca="false">INDEX($B$5:$B$61,MATCH($A92,$A$5:$A$61,0))</f>
        <v>Digital ID coverage (%)</v>
      </c>
      <c r="C92" s="15" t="s">
        <v>498</v>
      </c>
      <c r="D92" s="9" t="str">
        <f aca="false">IF(OR(INDEX($S$5:$S$61,MATCH($A92,$A$5:$A$61,0))="Gap",INDEX($S$5:$S$61,MATCH($A92,$A$5:$A$61,0))="",INDEX($T$5:$T$61,MATCH($A92,$A$5:$A$61,0))=""),"Unverified",IF(INDEX($T$5:$T$61,MATCH($A92,$A$5:$A$61,0))&gt;=3,"Present",IF(INDEX($T$5:$T$61,MATCH($A92,$A$5:$A$61,0))=2,"Present (narrow)","Absent")))</f>
        <v>Present</v>
      </c>
    </row>
    <row r="93" customFormat="false" ht="15" hidden="false" customHeight="false" outlineLevel="0" collapsed="false">
      <c r="A93" s="15" t="s">
        <v>329</v>
      </c>
      <c r="B93" s="10" t="str">
        <f aca="false">INDEX($B$5:$B$61,MATCH($A93,$A$5:$A$61,0))</f>
        <v>Inter-ministerial coordination mechanism</v>
      </c>
      <c r="C93" s="15" t="s">
        <v>499</v>
      </c>
      <c r="D93" s="9" t="str">
        <f aca="false">IF(OR(INDEX($S$5:$S$61,MATCH($A93,$A$5:$A$61,0))="Gap",INDEX($S$5:$S$61,MATCH($A93,$A$5:$A$61,0))="",INDEX($T$5:$T$61,MATCH($A93,$A$5:$A$61,0))=""),"Unverified",IF(INDEX($T$5:$T$61,MATCH($A93,$A$5:$A$61,0))&gt;=3,"Present",IF(INDEX($T$5:$T$61,MATCH($A93,$A$5:$A$61,0))=2,"Present (narrow)","Absent")))</f>
        <v>Present</v>
      </c>
    </row>
    <row r="94" customFormat="false" ht="15" hidden="false" customHeight="false" outlineLevel="0" collapsed="false">
      <c r="A94" s="15" t="s">
        <v>351</v>
      </c>
      <c r="B94" s="10" t="str">
        <f aca="false">INDEX($B$5:$B$61,MATCH($A94,$A$5:$A$61,0))</f>
        <v>Digital extension capability</v>
      </c>
      <c r="C94" s="15" t="s">
        <v>500</v>
      </c>
      <c r="D94" s="9" t="str">
        <f aca="false">IF(OR(INDEX($S$5:$S$61,MATCH($A94,$A$5:$A$61,0))="Gap",INDEX($S$5:$S$61,MATCH($A94,$A$5:$A$61,0))="",INDEX($T$5:$T$61,MATCH($A94,$A$5:$A$61,0))=""),"Unverified",IF(INDEX($T$5:$T$61,MATCH($A94,$A$5:$A$61,0))&gt;=3,"Present",IF(INDEX($T$5:$T$61,MATCH($A94,$A$5:$A$61,0))=2,"Present (narrow)","Absent")))</f>
        <v>Present</v>
      </c>
    </row>
    <row r="95" customFormat="false" ht="15" hidden="false" customHeight="false" outlineLevel="0" collapsed="false">
      <c r="A95" s="15" t="s">
        <v>358</v>
      </c>
      <c r="B95" s="10" t="str">
        <f aca="false">INDEX($B$5:$B$61,MATCH($A95,$A$5:$A$61,0))</f>
        <v>MoAg digital/AI unit</v>
      </c>
      <c r="C95" s="15" t="s">
        <v>499</v>
      </c>
      <c r="D95" s="9" t="str">
        <f aca="false">IF(OR(INDEX($S$5:$S$61,MATCH($A95,$A$5:$A$61,0))="Gap",INDEX($S$5:$S$61,MATCH($A95,$A$5:$A$61,0))="",INDEX($T$5:$T$61,MATCH($A95,$A$5:$A$61,0))=""),"Unverified",IF(INDEX($T$5:$T$61,MATCH($A95,$A$5:$A$61,0))&gt;=3,"Present",IF(INDEX($T$5:$T$61,MATCH($A95,$A$5:$A$61,0))=2,"Present (narrow)","Absent")))</f>
        <v>Unverified</v>
      </c>
    </row>
    <row r="96" customFormat="false" ht="15" hidden="false" customHeight="false" outlineLevel="0" collapsed="false">
      <c r="A96" s="15" t="s">
        <v>407</v>
      </c>
      <c r="B96" s="10" t="str">
        <f aca="false">INDEX($B$5:$B$61,MATCH($A96,$A$5:$A$61,0))</f>
        <v>Agri-fintech rails for smallholders</v>
      </c>
      <c r="C96" s="15" t="s">
        <v>498</v>
      </c>
      <c r="D96" s="9" t="str">
        <f aca="false">IF(OR(INDEX($S$5:$S$61,MATCH($A96,$A$5:$A$61,0))="Gap",INDEX($S$5:$S$61,MATCH($A96,$A$5:$A$61,0))="",INDEX($T$5:$T$61,MATCH($A96,$A$5:$A$61,0))=""),"Unverified",IF(INDEX($T$5:$T$61,MATCH($A96,$A$5:$A$61,0))&gt;=3,"Present",IF(INDEX($T$5:$T$61,MATCH($A96,$A$5:$A$61,0))=2,"Present (narrow)","Absent")))</f>
        <v>Present</v>
      </c>
    </row>
    <row r="97" customFormat="false" ht="15" hidden="false" customHeight="false" outlineLevel="0" collapsed="false">
      <c r="A97" s="15" t="s">
        <v>430</v>
      </c>
      <c r="B97" s="10" t="str">
        <f aca="false">INDEX($B$5:$B$61,MATCH($A97,$A$5:$A$61,0))</f>
        <v>Responsible-AI safeguards (consent, rights)</v>
      </c>
      <c r="C97" s="15" t="s">
        <v>501</v>
      </c>
      <c r="D97" s="9" t="str">
        <f aca="false">IF(OR(INDEX($S$5:$S$61,MATCH($A97,$A$5:$A$61,0))="Gap",INDEX($S$5:$S$61,MATCH($A97,$A$5:$A$61,0))="",INDEX($T$5:$T$61,MATCH($A97,$A$5:$A$61,0))=""),"Unverified",IF(INDEX($T$5:$T$61,MATCH($A97,$A$5:$A$61,0))&gt;=3,"Present",IF(INDEX($T$5:$T$61,MATCH($A97,$A$5:$A$61,0))=2,"Present (narrow)","Absent")))</f>
        <v>Absent</v>
      </c>
    </row>
    <row r="100" customFormat="false" ht="15" hidden="false" customHeight="false" outlineLevel="0" collapsed="false">
      <c r="A100" s="18" t="s">
        <v>502</v>
      </c>
    </row>
    <row r="101" customFormat="false" ht="15" hidden="false" customHeight="false" outlineLevel="0" collapsed="false">
      <c r="A101" s="8" t="s">
        <v>503</v>
      </c>
      <c r="B101" s="8" t="s">
        <v>504</v>
      </c>
      <c r="C101" s="8" t="s">
        <v>494</v>
      </c>
      <c r="D101" s="8" t="s">
        <v>505</v>
      </c>
    </row>
    <row r="102" customFormat="false" ht="15" hidden="false" customHeight="false" outlineLevel="0" collapsed="false">
      <c r="A102" s="9" t="s">
        <v>506</v>
      </c>
      <c r="B102" s="15" t="n">
        <f aca="false">IFERROR(ROUND(AVERAGEIF(V$5:V$61,1,$T$5:$T$61),2),"")</f>
        <v>3.27</v>
      </c>
      <c r="C102" s="9" t="str">
        <f aca="false">IF(OR($D$86="Absent",$D$87="Absent",$D$88="Absent",$D$94="Absent"),"Blocked",IF(OR($D$86="Unverified",$D$87="Unverified",$D$88="Unverified",$D$94="Unverified"),"Unverified",IF(OR(OR($D$94="Present (narrow)"),$B102&lt;Config!$C$4,OR($D$86="Present (narrow)",$D$87="Present (narrow)",$D$88="Present (narrow)")),"Partial","Ready")))</f>
        <v>Unverified</v>
      </c>
      <c r="D102" s="10" t="str">
        <f aca="false">IF($C102="Ready","",IF(TRIM(IF($D$86&lt;&gt;"Present",$A$86&amp;" ","")&amp;IF($D$87&lt;&gt;"Present",$A$87&amp;" ","")&amp;IF($D$88&lt;&gt;"Present",$A$88&amp;" ","")&amp;IF($D$94&lt;&gt;"Present",$A$94&amp;" ",""))&lt;&gt;"",TRIM(IF($D$86&lt;&gt;"Present",$A$86&amp;" ","")&amp;IF($D$87&lt;&gt;"Present",$A$87&amp;" ","")&amp;IF($D$88&lt;&gt;"Present",$A$88&amp;" ","")&amp;IF($D$94&lt;&gt;"Present",$A$94&amp;" ","")),IF($B102&lt;Config!$C$4,"thin enablers (mean below "&amp;TEXT(Config!$C$4,"0.0")&amp;")","")))</f>
        <v>2.1</v>
      </c>
    </row>
    <row r="103" customFormat="false" ht="15" hidden="false" customHeight="false" outlineLevel="0" collapsed="false">
      <c r="A103" s="9" t="s">
        <v>507</v>
      </c>
      <c r="B103" s="15" t="n">
        <f aca="false">IFERROR(ROUND(AVERAGEIF(W$5:W$61,1,$T$5:$T$61),2),"")</f>
        <v>3.12</v>
      </c>
      <c r="C103" s="9" t="str">
        <f aca="false">IF(OR($D$86="Absent",$D$87="Absent",$D$88="Absent"),"Blocked",IF(OR($D$86="Unverified",$D$87="Unverified",$D$88="Unverified"),"Unverified",IF(OR($B103&lt;Config!$C$4,OR($D$86="Present (narrow)",$D$87="Present (narrow)",$D$88="Present (narrow)")),"Partial","Ready")))</f>
        <v>Unverified</v>
      </c>
      <c r="D103" s="10" t="str">
        <f aca="false">IF($C103="Ready","",IF(TRIM(IF($D$86&lt;&gt;"Present",$A$86&amp;" ","")&amp;IF($D$87&lt;&gt;"Present",$A$87&amp;" ","")&amp;IF($D$88&lt;&gt;"Present",$A$88&amp;" ",""))&lt;&gt;"",TRIM(IF($D$86&lt;&gt;"Present",$A$86&amp;" ","")&amp;IF($D$87&lt;&gt;"Present",$A$87&amp;" ","")&amp;IF($D$88&lt;&gt;"Present",$A$88&amp;" ","")),IF($B103&lt;Config!$C$4,"thin enablers (mean below "&amp;TEXT(Config!$C$4,"0.0")&amp;")","")))</f>
        <v>2.1</v>
      </c>
    </row>
    <row r="104" customFormat="false" ht="15" hidden="false" customHeight="false" outlineLevel="0" collapsed="false">
      <c r="A104" s="9" t="s">
        <v>508</v>
      </c>
      <c r="B104" s="15" t="n">
        <f aca="false">IFERROR(ROUND(AVERAGEIF(X$5:X$61,1,$T$5:$T$61),2),"")</f>
        <v>3.13</v>
      </c>
      <c r="C104" s="9" t="str">
        <f aca="false">IF(OR($D$86="Absent",$D$87="Absent",$D$88="Absent"),"Blocked",IF(OR($D$86="Unverified",$D$87="Unverified",$D$88="Unverified"),"Unverified",IF(OR($B104&lt;Config!$C$4,OR($D$86="Present (narrow)",$D$87="Present (narrow)",$D$88="Present (narrow)")),"Partial","Ready")))</f>
        <v>Unverified</v>
      </c>
      <c r="D104" s="10" t="str">
        <f aca="false">IF($C104="Ready","",IF(TRIM(IF($D$86&lt;&gt;"Present",$A$86&amp;" ","")&amp;IF($D$87&lt;&gt;"Present",$A$87&amp;" ","")&amp;IF($D$88&lt;&gt;"Present",$A$88&amp;" ",""))&lt;&gt;"",TRIM(IF($D$86&lt;&gt;"Present",$A$86&amp;" ","")&amp;IF($D$87&lt;&gt;"Present",$A$87&amp;" ","")&amp;IF($D$88&lt;&gt;"Present",$A$88&amp;" ","")),IF($B104&lt;Config!$C$4,"thin enablers (mean below "&amp;TEXT(Config!$C$4,"0.0")&amp;")","")))</f>
        <v>2.1</v>
      </c>
    </row>
    <row r="105" customFormat="false" ht="15" hidden="false" customHeight="false" outlineLevel="0" collapsed="false">
      <c r="A105" s="9" t="s">
        <v>509</v>
      </c>
      <c r="B105" s="15" t="n">
        <f aca="false">IFERROR(ROUND(AVERAGEIF(Y$5:Y$61,1,$T$5:$T$61),2),"")</f>
        <v>3.22</v>
      </c>
      <c r="C105" s="9" t="str">
        <f aca="false">IF(OR($D$86="Absent",$D$87="Absent",$D$88="Absent"),"Blocked",IF(OR($D$86="Unverified",$D$87="Unverified",$D$88="Unverified"),"Unverified",IF(OR($B105&lt;Config!$C$4,OR($D$86="Present (narrow)",$D$87="Present (narrow)",$D$88="Present (narrow)")),"Partial","Ready")))</f>
        <v>Unverified</v>
      </c>
      <c r="D105" s="10" t="str">
        <f aca="false">IF($C105="Ready","",IF(TRIM(IF($D$86&lt;&gt;"Present",$A$86&amp;" ","")&amp;IF($D$87&lt;&gt;"Present",$A$87&amp;" ","")&amp;IF($D$88&lt;&gt;"Present",$A$88&amp;" ",""))&lt;&gt;"",TRIM(IF($D$86&lt;&gt;"Present",$A$86&amp;" ","")&amp;IF($D$87&lt;&gt;"Present",$A$87&amp;" ","")&amp;IF($D$88&lt;&gt;"Present",$A$88&amp;" ","")),IF($B105&lt;Config!$C$4,"thin enablers (mean below "&amp;TEXT(Config!$C$4,"0.0")&amp;")","")))</f>
        <v>2.1</v>
      </c>
    </row>
    <row r="106" customFormat="false" ht="15" hidden="false" customHeight="false" outlineLevel="0" collapsed="false">
      <c r="A106" s="9" t="s">
        <v>510</v>
      </c>
      <c r="B106" s="15" t="n">
        <f aca="false">IFERROR(ROUND(AVERAGEIF(Z$5:Z$61,1,$T$5:$T$61),2),"")</f>
        <v>3.03</v>
      </c>
      <c r="C106" s="9" t="str">
        <f aca="false">IF(OR($D$86="Absent",$D$87="Absent",$D$88="Absent",$D$89="Absent",$D$92="Absent",$D$96="Absent"),"Blocked",IF(OR($D$86="Unverified",$D$87="Unverified",$D$88="Unverified",$D$89="Unverified",$D$92="Unverified",$D$96="Unverified"),"Unverified",IF(OR(OR($D$89="Present (narrow)",$D$92="Present (narrow)",$D$96="Present (narrow)"),$B106&lt;Config!$C$4,OR($D$86="Present (narrow)",$D$87="Present (narrow)",$D$88="Present (narrow)")),"Partial","Ready")))</f>
        <v>Unverified</v>
      </c>
      <c r="D106" s="10" t="str">
        <f aca="false">IF($C106="Ready","",IF(TRIM(IF($D$86&lt;&gt;"Present",$A$86&amp;" ","")&amp;IF($D$87&lt;&gt;"Present",$A$87&amp;" ","")&amp;IF($D$88&lt;&gt;"Present",$A$88&amp;" ","")&amp;IF($D$89&lt;&gt;"Present",$A$89&amp;" ","")&amp;IF($D$92&lt;&gt;"Present",$A$92&amp;" ","")&amp;IF($D$96&lt;&gt;"Present",$A$96&amp;" ",""))&lt;&gt;"",TRIM(IF($D$86&lt;&gt;"Present",$A$86&amp;" ","")&amp;IF($D$87&lt;&gt;"Present",$A$87&amp;" ","")&amp;IF($D$88&lt;&gt;"Present",$A$88&amp;" ","")&amp;IF($D$89&lt;&gt;"Present",$A$89&amp;" ","")&amp;IF($D$92&lt;&gt;"Present",$A$92&amp;" ","")&amp;IF($D$96&lt;&gt;"Present",$A$96&amp;" ","")),IF($B106&lt;Config!$C$4,"thin enablers (mean below "&amp;TEXT(Config!$C$4,"0.0")&amp;")","")))</f>
        <v>2.1</v>
      </c>
    </row>
    <row r="107" customFormat="false" ht="15" hidden="false" customHeight="false" outlineLevel="0" collapsed="false">
      <c r="A107" s="9" t="s">
        <v>511</v>
      </c>
      <c r="B107" s="15" t="n">
        <f aca="false">IFERROR(ROUND(AVERAGEIF(AA$5:AA$61,1,$T$5:$T$61),2),"")</f>
        <v>3.17</v>
      </c>
      <c r="C107" s="9" t="str">
        <f aca="false">IF(OR($D$86="Absent",$D$87="Absent",$D$88="Absent",$D$89="Absent",$D$90="Absent",$D$91="Absent",$D$97="Absent"),"Blocked",IF(OR($D$86="Unverified",$D$87="Unverified",$D$88="Unverified",$D$89="Unverified",$D$90="Unverified",$D$91="Unverified",$D$97="Unverified"),"Unverified",IF(OR(OR($D$89="Present (narrow)",$D$90="Present (narrow)",$D$91="Present (narrow)",$D$97="Present (narrow)"),$B107&lt;Config!$C$4,OR($D$86="Present (narrow)",$D$87="Present (narrow)",$D$88="Present (narrow)")),"Partial","Ready")))</f>
        <v>Blocked</v>
      </c>
      <c r="D107" s="10" t="str">
        <f aca="false">IF($C107="Ready","",IF(TRIM(IF($D$86&lt;&gt;"Present",$A$86&amp;" ","")&amp;IF($D$87&lt;&gt;"Present",$A$87&amp;" ","")&amp;IF($D$88&lt;&gt;"Present",$A$88&amp;" ","")&amp;IF($D$89&lt;&gt;"Present",$A$89&amp;" ","")&amp;IF($D$90&lt;&gt;"Present",$A$90&amp;" ","")&amp;IF($D$91&lt;&gt;"Present",$A$91&amp;" ","")&amp;IF($D$97&lt;&gt;"Present",$A$97&amp;" ",""))&lt;&gt;"",TRIM(IF($D$86&lt;&gt;"Present",$A$86&amp;" ","")&amp;IF($D$87&lt;&gt;"Present",$A$87&amp;" ","")&amp;IF($D$88&lt;&gt;"Present",$A$88&amp;" ","")&amp;IF($D$89&lt;&gt;"Present",$A$89&amp;" ","")&amp;IF($D$90&lt;&gt;"Present",$A$90&amp;" ","")&amp;IF($D$91&lt;&gt;"Present",$A$91&amp;" ","")&amp;IF($D$97&lt;&gt;"Present",$A$97&amp;" ","")),IF($B107&lt;Config!$C$4,"thin enablers (mean below "&amp;TEXT(Config!$C$4,"0.0")&amp;")","")))</f>
        <v>2.1 3.11 4.5 7.12</v>
      </c>
    </row>
    <row r="110" customFormat="false" ht="15" hidden="false" customHeight="false" outlineLevel="0" collapsed="false">
      <c r="A110" s="19" t="s">
        <v>512</v>
      </c>
      <c r="B110" s="19"/>
      <c r="C110" s="19"/>
      <c r="D110" s="19"/>
      <c r="E110" s="19"/>
      <c r="F110" s="19"/>
      <c r="G110" s="19"/>
      <c r="H110" s="19"/>
    </row>
    <row r="111" customFormat="false" ht="57.45" hidden="false" customHeight="false" outlineLevel="0" collapsed="false">
      <c r="A111" s="15" t="s">
        <v>513</v>
      </c>
      <c r="B111" s="10" t="s">
        <v>514</v>
      </c>
      <c r="C111" s="15" t="s">
        <v>515</v>
      </c>
      <c r="M111" s="16" t="n">
        <v>42.8</v>
      </c>
      <c r="N111" s="16" t="s">
        <v>516</v>
      </c>
      <c r="O111" s="16" t="s">
        <v>517</v>
      </c>
      <c r="P111" s="11" t="s">
        <v>88</v>
      </c>
      <c r="Q111" s="11" t="n">
        <v>2023</v>
      </c>
      <c r="S111" s="20" t="s">
        <v>518</v>
      </c>
    </row>
    <row r="112" customFormat="false" ht="113.4" hidden="false" customHeight="false" outlineLevel="0" collapsed="false">
      <c r="A112" s="15" t="s">
        <v>519</v>
      </c>
      <c r="B112" s="10" t="s">
        <v>520</v>
      </c>
      <c r="C112" s="15" t="s">
        <v>515</v>
      </c>
      <c r="M112" s="16" t="n">
        <v>94.21</v>
      </c>
      <c r="N112" s="16" t="s">
        <v>521</v>
      </c>
      <c r="O112" s="16" t="s">
        <v>522</v>
      </c>
      <c r="P112" s="11" t="s">
        <v>88</v>
      </c>
      <c r="Q112" s="11" t="n">
        <v>2023</v>
      </c>
      <c r="S112" s="20" t="s">
        <v>518</v>
      </c>
      <c r="AB112" s="17" t="s">
        <v>523</v>
      </c>
    </row>
  </sheetData>
  <mergeCells count="1">
    <mergeCell ref="A110:H110"/>
  </mergeCells>
  <dataValidations count="2">
    <dataValidation allowBlank="true" errorStyle="stop" operator="between" showDropDown="false" showErrorMessage="false" showInputMessage="false" sqref="P5:P61" type="list">
      <formula1>"T1,T2,T3,T4,T5"</formula1>
      <formula2>0</formula2>
    </dataValidation>
    <dataValidation allowBlank="true" errorStyle="stop" operator="between" showDropDown="false" showErrorMessage="false" showInputMessage="false" sqref="R5:R61" type="list">
      <formula1>"1,2,3,4,5"</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6"/>
    <col collapsed="false" customWidth="true" hidden="false" outlineLevel="0" max="3" min="3" style="0" width="12"/>
    <col collapsed="false" customWidth="true" hidden="false" outlineLevel="0" max="4" min="4" style="0" width="10"/>
    <col collapsed="false" customWidth="true" hidden="false" outlineLevel="0" max="5" min="5" style="0" width="56"/>
    <col collapsed="false" customWidth="true" hidden="false" outlineLevel="0" max="6" min="6" style="0" width="12"/>
    <col collapsed="false" customWidth="true" hidden="false" outlineLevel="0" max="7" min="7" style="0" width="46"/>
    <col collapsed="false" customWidth="true" hidden="false" outlineLevel="0" max="8" min="8" style="0" width="16"/>
    <col collapsed="false" customWidth="true" hidden="false" outlineLevel="0" max="9" min="9" style="0" width="14"/>
  </cols>
  <sheetData>
    <row r="1" customFormat="false" ht="17.35" hidden="false" customHeight="false" outlineLevel="0" collapsed="false">
      <c r="B1" s="1" t="s">
        <v>524</v>
      </c>
    </row>
    <row r="2" customFormat="false" ht="15" hidden="false" customHeight="false" outlineLevel="0" collapsed="false">
      <c r="B2" s="2" t="s">
        <v>525</v>
      </c>
    </row>
    <row r="4" customFormat="false" ht="15" hidden="false" customHeight="false" outlineLevel="0" collapsed="false">
      <c r="B4" s="8" t="s">
        <v>526</v>
      </c>
      <c r="C4" s="8" t="s">
        <v>28</v>
      </c>
      <c r="D4" s="8" t="s">
        <v>128</v>
      </c>
      <c r="E4" s="8" t="s">
        <v>527</v>
      </c>
      <c r="F4" s="8" t="s">
        <v>528</v>
      </c>
      <c r="G4" s="8" t="s">
        <v>529</v>
      </c>
      <c r="H4" s="8" t="s">
        <v>530</v>
      </c>
      <c r="I4" s="8" t="s">
        <v>494</v>
      </c>
    </row>
    <row r="5" customFormat="false" ht="15" hidden="false" customHeight="false" outlineLevel="0" collapsed="false">
      <c r="B5" s="16"/>
      <c r="C5" s="16"/>
      <c r="D5" s="16"/>
      <c r="E5" s="16"/>
      <c r="F5" s="16"/>
      <c r="G5" s="16"/>
      <c r="H5" s="16"/>
      <c r="I5" s="16"/>
    </row>
    <row r="6" customFormat="false" ht="15" hidden="false" customHeight="false" outlineLevel="0" collapsed="false">
      <c r="B6" s="16"/>
      <c r="C6" s="16"/>
      <c r="D6" s="16"/>
      <c r="E6" s="16"/>
      <c r="F6" s="16"/>
      <c r="G6" s="16"/>
      <c r="H6" s="16"/>
      <c r="I6" s="16"/>
    </row>
    <row r="7" customFormat="false" ht="15" hidden="false" customHeight="false" outlineLevel="0" collapsed="false">
      <c r="B7" s="16"/>
      <c r="C7" s="16"/>
      <c r="D7" s="16"/>
      <c r="E7" s="16"/>
      <c r="F7" s="16"/>
      <c r="G7" s="16"/>
      <c r="H7" s="16"/>
      <c r="I7" s="16"/>
    </row>
    <row r="8" customFormat="false" ht="15" hidden="false" customHeight="false" outlineLevel="0" collapsed="false">
      <c r="B8" s="16"/>
      <c r="C8" s="16"/>
      <c r="D8" s="16"/>
      <c r="E8" s="16"/>
      <c r="F8" s="16"/>
      <c r="G8" s="16"/>
      <c r="H8" s="16"/>
      <c r="I8" s="16"/>
    </row>
    <row r="9" customFormat="false" ht="15" hidden="false" customHeight="false" outlineLevel="0" collapsed="false">
      <c r="B9" s="16"/>
      <c r="C9" s="16"/>
      <c r="D9" s="16"/>
      <c r="E9" s="16"/>
      <c r="F9" s="16"/>
      <c r="G9" s="16"/>
      <c r="H9" s="16"/>
      <c r="I9" s="16"/>
    </row>
    <row r="10" customFormat="false" ht="15" hidden="false" customHeight="false" outlineLevel="0" collapsed="false">
      <c r="B10" s="16"/>
      <c r="C10" s="16"/>
      <c r="D10" s="16"/>
      <c r="E10" s="16"/>
      <c r="F10" s="16"/>
      <c r="G10" s="16"/>
      <c r="H10" s="16"/>
      <c r="I10" s="16"/>
    </row>
    <row r="11" customFormat="false" ht="15" hidden="false" customHeight="false" outlineLevel="0" collapsed="false">
      <c r="B11" s="16"/>
      <c r="C11" s="16"/>
      <c r="D11" s="16"/>
      <c r="E11" s="16"/>
      <c r="F11" s="16"/>
      <c r="G11" s="16"/>
      <c r="H11" s="16"/>
      <c r="I11" s="16"/>
    </row>
    <row r="12" customFormat="false" ht="15" hidden="false" customHeight="false" outlineLevel="0" collapsed="false">
      <c r="B12" s="16"/>
      <c r="C12" s="16"/>
      <c r="D12" s="16"/>
      <c r="E12" s="16"/>
      <c r="F12" s="16"/>
      <c r="G12" s="16"/>
      <c r="H12" s="16"/>
      <c r="I12" s="16"/>
    </row>
    <row r="13" customFormat="false" ht="15" hidden="false" customHeight="false" outlineLevel="0" collapsed="false">
      <c r="B13" s="16"/>
      <c r="C13" s="16"/>
      <c r="D13" s="16"/>
      <c r="E13" s="16"/>
      <c r="F13" s="16"/>
      <c r="G13" s="16"/>
      <c r="H13" s="16"/>
      <c r="I13" s="16"/>
    </row>
    <row r="14" customFormat="false" ht="15" hidden="false" customHeight="false" outlineLevel="0" collapsed="false">
      <c r="B14" s="16"/>
      <c r="C14" s="16"/>
      <c r="D14" s="16"/>
      <c r="E14" s="16"/>
      <c r="F14" s="16"/>
      <c r="G14" s="16"/>
      <c r="H14" s="16"/>
      <c r="I14" s="16"/>
    </row>
    <row r="15" customFormat="false" ht="15" hidden="false" customHeight="false" outlineLevel="0" collapsed="false">
      <c r="B15" s="16"/>
      <c r="C15" s="16"/>
      <c r="D15" s="16"/>
      <c r="E15" s="16"/>
      <c r="F15" s="16"/>
      <c r="G15" s="16"/>
      <c r="H15" s="16"/>
      <c r="I15" s="16"/>
    </row>
    <row r="16" customFormat="false" ht="15" hidden="false" customHeight="false" outlineLevel="0" collapsed="false">
      <c r="B16" s="16"/>
      <c r="C16" s="16"/>
      <c r="D16" s="16"/>
      <c r="E16" s="16"/>
      <c r="F16" s="16"/>
      <c r="G16" s="16"/>
      <c r="H16" s="16"/>
      <c r="I16" s="16"/>
    </row>
    <row r="17" customFormat="false" ht="15" hidden="false" customHeight="false" outlineLevel="0" collapsed="false">
      <c r="B17" s="16"/>
      <c r="C17" s="16"/>
      <c r="D17" s="16"/>
      <c r="E17" s="16"/>
      <c r="F17" s="16"/>
      <c r="G17" s="16"/>
      <c r="H17" s="16"/>
      <c r="I17" s="16"/>
    </row>
    <row r="18" customFormat="false" ht="15" hidden="false" customHeight="false" outlineLevel="0" collapsed="false">
      <c r="B18" s="16"/>
      <c r="C18" s="16"/>
      <c r="D18" s="16"/>
      <c r="E18" s="16"/>
      <c r="F18" s="16"/>
      <c r="G18" s="16"/>
      <c r="H18" s="16"/>
      <c r="I18" s="16"/>
    </row>
    <row r="19" customFormat="false" ht="15" hidden="false" customHeight="false" outlineLevel="0" collapsed="false">
      <c r="B19" s="16"/>
      <c r="C19" s="16"/>
      <c r="D19" s="16"/>
      <c r="E19" s="16"/>
      <c r="F19" s="16"/>
      <c r="G19" s="16"/>
      <c r="H19" s="16"/>
      <c r="I19" s="16"/>
    </row>
    <row r="20" customFormat="false" ht="15" hidden="false" customHeight="false" outlineLevel="0" collapsed="false">
      <c r="B20" s="16"/>
      <c r="C20" s="16"/>
      <c r="D20" s="16"/>
      <c r="E20" s="16"/>
      <c r="F20" s="16"/>
      <c r="G20" s="16"/>
      <c r="H20" s="16"/>
      <c r="I20" s="16"/>
    </row>
    <row r="21" customFormat="false" ht="15" hidden="false" customHeight="false" outlineLevel="0" collapsed="false">
      <c r="B21" s="16"/>
      <c r="C21" s="16"/>
      <c r="D21" s="16"/>
      <c r="E21" s="16"/>
      <c r="F21" s="16"/>
      <c r="G21" s="16"/>
      <c r="H21" s="16"/>
      <c r="I21" s="16"/>
    </row>
    <row r="22" customFormat="false" ht="15" hidden="false" customHeight="false" outlineLevel="0" collapsed="false">
      <c r="B22" s="16"/>
      <c r="C22" s="16"/>
      <c r="D22" s="16"/>
      <c r="E22" s="16"/>
      <c r="F22" s="16"/>
      <c r="G22" s="16"/>
      <c r="H22" s="16"/>
      <c r="I22" s="16"/>
    </row>
    <row r="23" customFormat="false" ht="15" hidden="false" customHeight="false" outlineLevel="0" collapsed="false">
      <c r="B23" s="16"/>
      <c r="C23" s="16"/>
      <c r="D23" s="16"/>
      <c r="E23" s="16"/>
      <c r="F23" s="16"/>
      <c r="G23" s="16"/>
      <c r="H23" s="16"/>
      <c r="I23" s="16"/>
    </row>
    <row r="24" customFormat="false" ht="15" hidden="false" customHeight="false" outlineLevel="0" collapsed="false">
      <c r="B24" s="16"/>
      <c r="C24" s="16"/>
      <c r="D24" s="16"/>
      <c r="E24" s="16"/>
      <c r="F24" s="16"/>
      <c r="G24" s="16"/>
      <c r="H24" s="16"/>
      <c r="I24" s="16"/>
    </row>
    <row r="25" customFormat="false" ht="15" hidden="false" customHeight="false" outlineLevel="0" collapsed="false">
      <c r="B25" s="16"/>
      <c r="C25" s="16"/>
      <c r="D25" s="16"/>
      <c r="E25" s="16"/>
      <c r="F25" s="16"/>
      <c r="G25" s="16"/>
      <c r="H25" s="16"/>
      <c r="I25" s="16"/>
    </row>
    <row r="26" customFormat="false" ht="15" hidden="false" customHeight="false" outlineLevel="0" collapsed="false">
      <c r="B26" s="16"/>
      <c r="C26" s="16"/>
      <c r="D26" s="16"/>
      <c r="E26" s="16"/>
      <c r="F26" s="16"/>
      <c r="G26" s="16"/>
      <c r="H26" s="16"/>
      <c r="I26" s="16"/>
    </row>
    <row r="27" customFormat="false" ht="15" hidden="false" customHeight="false" outlineLevel="0" collapsed="false">
      <c r="B27" s="16"/>
      <c r="C27" s="16"/>
      <c r="D27" s="16"/>
      <c r="E27" s="16"/>
      <c r="F27" s="16"/>
      <c r="G27" s="16"/>
      <c r="H27" s="16"/>
      <c r="I27" s="16"/>
    </row>
    <row r="28" customFormat="false" ht="15" hidden="false" customHeight="false" outlineLevel="0" collapsed="false">
      <c r="B28" s="16"/>
      <c r="C28" s="16"/>
      <c r="D28" s="16"/>
      <c r="E28" s="16"/>
      <c r="F28" s="16"/>
      <c r="G28" s="16"/>
      <c r="H28" s="16"/>
      <c r="I28" s="16"/>
    </row>
    <row r="29" customFormat="false" ht="15" hidden="false" customHeight="false" outlineLevel="0" collapsed="false">
      <c r="B29" s="16"/>
      <c r="C29" s="16"/>
      <c r="D29" s="16"/>
      <c r="E29" s="16"/>
      <c r="F29" s="16"/>
      <c r="G29" s="16"/>
      <c r="H29" s="16"/>
      <c r="I29" s="16"/>
    </row>
    <row r="30" customFormat="false" ht="15" hidden="false" customHeight="false" outlineLevel="0" collapsed="false">
      <c r="B30" s="16"/>
      <c r="C30" s="16"/>
      <c r="D30" s="16"/>
      <c r="E30" s="16"/>
      <c r="F30" s="16"/>
      <c r="G30" s="16"/>
      <c r="H30" s="16"/>
      <c r="I30" s="16"/>
    </row>
    <row r="31" customFormat="false" ht="15" hidden="false" customHeight="false" outlineLevel="0" collapsed="false">
      <c r="B31" s="16"/>
      <c r="C31" s="16"/>
      <c r="D31" s="16"/>
      <c r="E31" s="16"/>
      <c r="F31" s="16"/>
      <c r="G31" s="16"/>
      <c r="H31" s="16"/>
      <c r="I31" s="16"/>
    </row>
    <row r="32" customFormat="false" ht="15" hidden="false" customHeight="false" outlineLevel="0" collapsed="false">
      <c r="B32" s="16"/>
      <c r="C32" s="16"/>
      <c r="D32" s="16"/>
      <c r="E32" s="16"/>
      <c r="F32" s="16"/>
      <c r="G32" s="16"/>
      <c r="H32" s="16"/>
      <c r="I32" s="16"/>
    </row>
    <row r="33" customFormat="false" ht="15" hidden="false" customHeight="false" outlineLevel="0" collapsed="false">
      <c r="B33" s="16"/>
      <c r="C33" s="16"/>
      <c r="D33" s="16"/>
      <c r="E33" s="16"/>
      <c r="F33" s="16"/>
      <c r="G33" s="16"/>
      <c r="H33" s="16"/>
      <c r="I33" s="16"/>
    </row>
    <row r="34" customFormat="false" ht="15" hidden="false" customHeight="false" outlineLevel="0" collapsed="false">
      <c r="B34" s="16"/>
      <c r="C34" s="16"/>
      <c r="D34" s="16"/>
      <c r="E34" s="16"/>
      <c r="F34" s="16"/>
      <c r="G34" s="16"/>
      <c r="H34" s="16"/>
      <c r="I34" s="16"/>
    </row>
    <row r="35" customFormat="false" ht="15" hidden="false" customHeight="false" outlineLevel="0" collapsed="false">
      <c r="B35" s="16"/>
      <c r="C35" s="16"/>
      <c r="D35" s="16"/>
      <c r="E35" s="16"/>
      <c r="F35" s="16"/>
      <c r="G35" s="16"/>
      <c r="H35" s="16"/>
      <c r="I35" s="16"/>
    </row>
    <row r="36" customFormat="false" ht="15" hidden="false" customHeight="false" outlineLevel="0" collapsed="false">
      <c r="B36" s="16"/>
      <c r="C36" s="16"/>
      <c r="D36" s="16"/>
      <c r="E36" s="16"/>
      <c r="F36" s="16"/>
      <c r="G36" s="16"/>
      <c r="H36" s="16"/>
      <c r="I36" s="16"/>
    </row>
    <row r="37" customFormat="false" ht="15" hidden="false" customHeight="false" outlineLevel="0" collapsed="false">
      <c r="B37" s="16"/>
      <c r="C37" s="16"/>
      <c r="D37" s="16"/>
      <c r="E37" s="16"/>
      <c r="F37" s="16"/>
      <c r="G37" s="16"/>
      <c r="H37" s="16"/>
      <c r="I37" s="16"/>
    </row>
    <row r="38" customFormat="false" ht="15" hidden="false" customHeight="false" outlineLevel="0" collapsed="false">
      <c r="B38" s="16"/>
      <c r="C38" s="16"/>
      <c r="D38" s="16"/>
      <c r="E38" s="16"/>
      <c r="F38" s="16"/>
      <c r="G38" s="16"/>
      <c r="H38" s="16"/>
      <c r="I38" s="16"/>
    </row>
    <row r="39" customFormat="false" ht="15" hidden="false" customHeight="false" outlineLevel="0" collapsed="false">
      <c r="B39" s="16"/>
      <c r="C39" s="16"/>
      <c r="D39" s="16"/>
      <c r="E39" s="16"/>
      <c r="F39" s="16"/>
      <c r="G39" s="16"/>
      <c r="H39" s="16"/>
      <c r="I39" s="16"/>
    </row>
    <row r="40" customFormat="false" ht="15" hidden="false" customHeight="false" outlineLevel="0" collapsed="false">
      <c r="B40" s="16"/>
      <c r="C40" s="16"/>
      <c r="D40" s="16"/>
      <c r="E40" s="16"/>
      <c r="F40" s="16"/>
      <c r="G40" s="16"/>
      <c r="H40" s="16"/>
      <c r="I40" s="16"/>
    </row>
    <row r="41" customFormat="false" ht="15" hidden="false" customHeight="false" outlineLevel="0" collapsed="false">
      <c r="B41" s="16"/>
      <c r="C41" s="16"/>
      <c r="D41" s="16"/>
      <c r="E41" s="16"/>
      <c r="F41" s="16"/>
      <c r="G41" s="16"/>
      <c r="H41" s="16"/>
      <c r="I41" s="16"/>
    </row>
    <row r="42" customFormat="false" ht="15" hidden="false" customHeight="false" outlineLevel="0" collapsed="false">
      <c r="B42" s="16"/>
      <c r="C42" s="16"/>
      <c r="D42" s="16"/>
      <c r="E42" s="16"/>
      <c r="F42" s="16"/>
      <c r="G42" s="16"/>
      <c r="H42" s="16"/>
      <c r="I42" s="16"/>
    </row>
    <row r="43" customFormat="false" ht="15" hidden="false" customHeight="false" outlineLevel="0" collapsed="false">
      <c r="B43" s="16"/>
      <c r="C43" s="16"/>
      <c r="D43" s="16"/>
      <c r="E43" s="16"/>
      <c r="F43" s="16"/>
      <c r="G43" s="16"/>
      <c r="H43" s="16"/>
      <c r="I43" s="16"/>
    </row>
    <row r="44" customFormat="false" ht="15" hidden="false" customHeight="false" outlineLevel="0" collapsed="false">
      <c r="B44" s="16"/>
      <c r="C44" s="16"/>
      <c r="D44" s="16"/>
      <c r="E44" s="16"/>
      <c r="F44" s="16"/>
      <c r="G44" s="16"/>
      <c r="H44" s="16"/>
      <c r="I44" s="16"/>
    </row>
  </sheetData>
  <dataValidations count="2">
    <dataValidation allowBlank="true" errorStyle="stop" operator="between" showDropDown="false" showErrorMessage="false" showInputMessage="false" sqref="D5:D44" type="list">
      <formula1>"D1 data,D2 protocol,D3 instrument,D4 engine,D5 presentation,D6 spec"</formula1>
      <formula2>0</formula2>
    </dataValidation>
    <dataValidation allowBlank="true" errorStyle="stop" operator="between" showDropDown="false" showErrorMessage="false" showInputMessage="false" sqref="I5:I44" type="list">
      <formula1>"Open,Fixed,Accepted,Superseded"</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6" min="2" style="0" width="13"/>
  </cols>
  <sheetData>
    <row r="1" customFormat="false" ht="17.35" hidden="false" customHeight="false" outlineLevel="0" collapsed="false">
      <c r="A1" s="1" t="s">
        <v>531</v>
      </c>
    </row>
    <row r="2" customFormat="false" ht="15" hidden="false" customHeight="false" outlineLevel="0" collapsed="false">
      <c r="A2" s="2" t="s">
        <v>532</v>
      </c>
    </row>
    <row r="3" customFormat="false" ht="15" hidden="false" customHeight="false" outlineLevel="0" collapsed="false">
      <c r="A3" s="5" t="s">
        <v>115</v>
      </c>
      <c r="B3" s="5" t="s">
        <v>482</v>
      </c>
      <c r="C3" s="5" t="s">
        <v>484</v>
      </c>
      <c r="D3" s="5" t="s">
        <v>485</v>
      </c>
      <c r="E3" s="5" t="s">
        <v>486</v>
      </c>
      <c r="F3" s="5" t="s">
        <v>487</v>
      </c>
    </row>
    <row r="4" customFormat="false" ht="15" hidden="false" customHeight="false" outlineLevel="0" collapsed="false">
      <c r="A4" s="3" t="s">
        <v>533</v>
      </c>
      <c r="B4" s="3" t="n">
        <f aca="false">Egypt!$D$66</f>
        <v>3</v>
      </c>
      <c r="C4" s="3" t="n">
        <f aca="false">Egypt!$F$66</f>
        <v>6</v>
      </c>
      <c r="D4" s="3" t="n">
        <f aca="false">Egypt!$G$66</f>
        <v>4</v>
      </c>
      <c r="E4" s="3" t="n">
        <f aca="false">Egypt!$H$66</f>
        <v>0</v>
      </c>
      <c r="F4" s="3" t="n">
        <f aca="false">Egypt!$I$66</f>
        <v>0</v>
      </c>
    </row>
    <row r="5" customFormat="false" ht="15" hidden="false" customHeight="false" outlineLevel="0" collapsed="false">
      <c r="A5" s="3" t="s">
        <v>534</v>
      </c>
      <c r="B5" s="3" t="n">
        <f aca="false">Egypt!$D$67</f>
        <v>3.8</v>
      </c>
      <c r="C5" s="3" t="n">
        <f aca="false">Egypt!$F$67</f>
        <v>4</v>
      </c>
      <c r="D5" s="3" t="n">
        <f aca="false">Egypt!$G$67</f>
        <v>1</v>
      </c>
      <c r="E5" s="3" t="n">
        <f aca="false">Egypt!$H$67</f>
        <v>0</v>
      </c>
      <c r="F5" s="3" t="n">
        <f aca="false">Egypt!$I$67</f>
        <v>1</v>
      </c>
    </row>
    <row r="6" customFormat="false" ht="15" hidden="false" customHeight="false" outlineLevel="0" collapsed="false">
      <c r="A6" s="3" t="s">
        <v>535</v>
      </c>
      <c r="B6" s="3" t="n">
        <f aca="false">Egypt!$D$68</f>
        <v>2.88</v>
      </c>
      <c r="C6" s="3" t="n">
        <f aca="false">Egypt!$F$68</f>
        <v>1</v>
      </c>
      <c r="D6" s="3" t="n">
        <f aca="false">Egypt!$G$68</f>
        <v>7</v>
      </c>
      <c r="E6" s="3" t="n">
        <f aca="false">Egypt!$H$68</f>
        <v>0</v>
      </c>
      <c r="F6" s="3" t="n">
        <f aca="false">Egypt!$I$68</f>
        <v>0</v>
      </c>
    </row>
    <row r="7" customFormat="false" ht="15" hidden="false" customHeight="false" outlineLevel="0" collapsed="false">
      <c r="A7" s="3" t="s">
        <v>536</v>
      </c>
      <c r="B7" s="3" t="n">
        <f aca="false">Egypt!$D$69</f>
        <v>3.25</v>
      </c>
      <c r="C7" s="3" t="n">
        <f aca="false">Egypt!$F$69</f>
        <v>3</v>
      </c>
      <c r="D7" s="3" t="n">
        <f aca="false">Egypt!$G$69</f>
        <v>5</v>
      </c>
      <c r="E7" s="3" t="n">
        <f aca="false">Egypt!$H$69</f>
        <v>0</v>
      </c>
      <c r="F7" s="3" t="n">
        <f aca="false">Egypt!$I$69</f>
        <v>0</v>
      </c>
    </row>
    <row r="8" customFormat="false" ht="15" hidden="false" customHeight="false" outlineLevel="0" collapsed="false">
      <c r="A8" s="3" t="s">
        <v>537</v>
      </c>
      <c r="B8" s="3" t="n">
        <f aca="false">Egypt!$D$70</f>
        <v>3.33</v>
      </c>
      <c r="C8" s="3" t="n">
        <f aca="false">Egypt!$F$70</f>
        <v>2</v>
      </c>
      <c r="D8" s="3" t="n">
        <f aca="false">Egypt!$G$70</f>
        <v>4</v>
      </c>
      <c r="E8" s="3" t="n">
        <f aca="false">Egypt!$H$70</f>
        <v>0</v>
      </c>
      <c r="F8" s="3" t="n">
        <f aca="false">Egypt!$I$70</f>
        <v>1</v>
      </c>
    </row>
    <row r="9" customFormat="false" ht="15" hidden="false" customHeight="false" outlineLevel="0" collapsed="false">
      <c r="A9" s="3" t="s">
        <v>538</v>
      </c>
      <c r="B9" s="3" t="n">
        <f aca="false">Egypt!$D$71</f>
        <v>3.11</v>
      </c>
      <c r="C9" s="3" t="n">
        <f aca="false">Egypt!$F$71</f>
        <v>1</v>
      </c>
      <c r="D9" s="3" t="n">
        <f aca="false">Egypt!$G$71</f>
        <v>8</v>
      </c>
      <c r="E9" s="3" t="n">
        <f aca="false">Egypt!$H$71</f>
        <v>0</v>
      </c>
      <c r="F9" s="3" t="n">
        <f aca="false">Egypt!$I$71</f>
        <v>2</v>
      </c>
    </row>
    <row r="10" customFormat="false" ht="15" hidden="false" customHeight="false" outlineLevel="0" collapsed="false">
      <c r="A10" s="3" t="s">
        <v>539</v>
      </c>
      <c r="B10" s="3" t="n">
        <f aca="false">Egypt!$D$72</f>
        <v>2.67</v>
      </c>
      <c r="C10" s="3" t="n">
        <f aca="false">Egypt!$F$72</f>
        <v>3</v>
      </c>
      <c r="D10" s="3" t="n">
        <f aca="false">Egypt!$G$72</f>
        <v>3</v>
      </c>
      <c r="E10" s="3" t="n">
        <f aca="false">Egypt!$H$72</f>
        <v>0</v>
      </c>
      <c r="F10" s="3" t="n">
        <f aca="false">Egypt!$I$72</f>
        <v>1</v>
      </c>
    </row>
    <row r="12" customFormat="false" ht="15" hidden="false" customHeight="false" outlineLevel="0" collapsed="false">
      <c r="A12" s="5" t="s">
        <v>116</v>
      </c>
      <c r="B12" s="5" t="s">
        <v>482</v>
      </c>
    </row>
    <row r="13" customFormat="false" ht="15" hidden="false" customHeight="false" outlineLevel="0" collapsed="false">
      <c r="A13" s="3" t="s">
        <v>141</v>
      </c>
      <c r="B13" s="3" t="n">
        <f aca="false">Egypt!$B$76</f>
        <v>3.31</v>
      </c>
    </row>
    <row r="14" customFormat="false" ht="15" hidden="false" customHeight="false" outlineLevel="0" collapsed="false">
      <c r="A14" s="3" t="s">
        <v>235</v>
      </c>
      <c r="B14" s="3" t="n">
        <f aca="false">Egypt!$B$77</f>
        <v>2.9</v>
      </c>
    </row>
    <row r="15" customFormat="false" ht="15" hidden="false" customHeight="false" outlineLevel="0" collapsed="false">
      <c r="A15" s="3" t="s">
        <v>385</v>
      </c>
      <c r="B15" s="3" t="n">
        <f aca="false">Egypt!$B$78</f>
        <v>3.71</v>
      </c>
    </row>
    <row r="16" customFormat="false" ht="15" hidden="false" customHeight="false" outlineLevel="0" collapsed="false">
      <c r="A16" s="3" t="s">
        <v>441</v>
      </c>
      <c r="B16" s="3" t="n">
        <f aca="false">Egypt!$B$79</f>
        <v>2.67</v>
      </c>
    </row>
    <row r="18" customFormat="false" ht="15" hidden="false" customHeight="false" outlineLevel="0" collapsed="false">
      <c r="A18" s="5" t="s">
        <v>69</v>
      </c>
      <c r="B18" s="5" t="s">
        <v>540</v>
      </c>
    </row>
    <row r="19" customFormat="false" ht="15" hidden="false" customHeight="false" outlineLevel="0" collapsed="false">
      <c r="A19" s="3" t="s">
        <v>541</v>
      </c>
      <c r="B19" s="3" t="n">
        <f aca="false">COUNTIF(Egypt!$T$5:$T$61,1)</f>
        <v>10</v>
      </c>
    </row>
    <row r="20" customFormat="false" ht="15" hidden="false" customHeight="false" outlineLevel="0" collapsed="false">
      <c r="A20" s="3" t="s">
        <v>542</v>
      </c>
      <c r="B20" s="3" t="n">
        <f aca="false">COUNTIF(Egypt!$T$5:$T$61,2)</f>
        <v>3</v>
      </c>
    </row>
    <row r="21" customFormat="false" ht="15" hidden="false" customHeight="false" outlineLevel="0" collapsed="false">
      <c r="A21" s="3" t="s">
        <v>543</v>
      </c>
      <c r="B21" s="3" t="n">
        <f aca="false">COUNTIF(Egypt!$T$5:$T$61,3)</f>
        <v>12</v>
      </c>
    </row>
    <row r="22" customFormat="false" ht="15" hidden="false" customHeight="false" outlineLevel="0" collapsed="false">
      <c r="A22" s="3" t="s">
        <v>544</v>
      </c>
      <c r="B22" s="3" t="n">
        <f aca="false">COUNTIF(Egypt!$T$5:$T$61,4)</f>
        <v>16</v>
      </c>
    </row>
    <row r="23" customFormat="false" ht="15" hidden="false" customHeight="false" outlineLevel="0" collapsed="false">
      <c r="A23" s="3" t="s">
        <v>545</v>
      </c>
      <c r="B23" s="3" t="n">
        <f aca="false">COUNTIF(Egypt!$T$5:$T$61,5)</f>
        <v>6</v>
      </c>
    </row>
    <row r="25" customFormat="false" ht="15" hidden="false" customHeight="false" outlineLevel="0" collapsed="false">
      <c r="A25" s="5" t="s">
        <v>127</v>
      </c>
      <c r="B25" s="5" t="s">
        <v>546</v>
      </c>
    </row>
    <row r="26" customFormat="false" ht="15" hidden="false" customHeight="false" outlineLevel="0" collapsed="false">
      <c r="A26" s="3" t="s">
        <v>547</v>
      </c>
      <c r="B26" s="3" t="n">
        <f aca="false">SUMPRODUCT((Egypt!$Q$5:$Q$61=2010)*(Egypt!$S$5:$S$61&lt;&gt;"Gap"))</f>
        <v>1</v>
      </c>
    </row>
    <row r="27" customFormat="false" ht="15" hidden="false" customHeight="false" outlineLevel="0" collapsed="false">
      <c r="A27" s="3" t="s">
        <v>548</v>
      </c>
      <c r="B27" s="3" t="n">
        <f aca="false">SUMPRODUCT((Egypt!$Q$5:$Q$61=2017)*(Egypt!$S$5:$S$61&lt;&gt;"Gap"))</f>
        <v>1</v>
      </c>
    </row>
    <row r="28" customFormat="false" ht="15" hidden="false" customHeight="false" outlineLevel="0" collapsed="false">
      <c r="A28" s="3" t="s">
        <v>549</v>
      </c>
      <c r="B28" s="3" t="n">
        <f aca="false">SUMPRODUCT((Egypt!$Q$5:$Q$61=2018)*(Egypt!$S$5:$S$61&lt;&gt;"Gap"))</f>
        <v>2</v>
      </c>
    </row>
    <row r="29" customFormat="false" ht="15" hidden="false" customHeight="false" outlineLevel="0" collapsed="false">
      <c r="A29" s="3" t="s">
        <v>550</v>
      </c>
      <c r="B29" s="3" t="n">
        <f aca="false">SUMPRODUCT((Egypt!$Q$5:$Q$61=2019)*(Egypt!$S$5:$S$61&lt;&gt;"Gap"))</f>
        <v>1</v>
      </c>
    </row>
    <row r="30" customFormat="false" ht="15" hidden="false" customHeight="false" outlineLevel="0" collapsed="false">
      <c r="A30" s="3" t="s">
        <v>551</v>
      </c>
      <c r="B30" s="3" t="n">
        <f aca="false">SUMPRODUCT((Egypt!$Q$5:$Q$61=2021)*(Egypt!$S$5:$S$61&lt;&gt;"Gap"))</f>
        <v>3</v>
      </c>
    </row>
    <row r="31" customFormat="false" ht="15" hidden="false" customHeight="false" outlineLevel="0" collapsed="false">
      <c r="A31" s="3" t="s">
        <v>552</v>
      </c>
      <c r="B31" s="3" t="n">
        <f aca="false">SUMPRODUCT((Egypt!$Q$5:$Q$61=2022)*(Egypt!$S$5:$S$61&lt;&gt;"Gap"))</f>
        <v>3</v>
      </c>
    </row>
    <row r="32" customFormat="false" ht="15" hidden="false" customHeight="false" outlineLevel="0" collapsed="false">
      <c r="A32" s="3" t="s">
        <v>553</v>
      </c>
      <c r="B32" s="3" t="n">
        <f aca="false">SUMPRODUCT((Egypt!$Q$5:$Q$61=2023)*(Egypt!$S$5:$S$61&lt;&gt;"Gap"))</f>
        <v>4</v>
      </c>
    </row>
    <row r="33" customFormat="false" ht="15" hidden="false" customHeight="false" outlineLevel="0" collapsed="false">
      <c r="A33" s="3" t="s">
        <v>554</v>
      </c>
      <c r="B33" s="3" t="n">
        <f aca="false">SUMPRODUCT((Egypt!$Q$5:$Q$61=2024)*(Egypt!$S$5:$S$61&lt;&gt;"Gap"))</f>
        <v>12</v>
      </c>
    </row>
    <row r="34" customFormat="false" ht="15" hidden="false" customHeight="false" outlineLevel="0" collapsed="false">
      <c r="A34" s="3" t="s">
        <v>555</v>
      </c>
      <c r="B34" s="3" t="n">
        <f aca="false">SUMPRODUCT((Egypt!$Q$5:$Q$61=2025)*(Egypt!$S$5:$S$61&lt;&gt;"Gap"))</f>
        <v>19</v>
      </c>
    </row>
    <row r="35" customFormat="false" ht="15" hidden="false" customHeight="false" outlineLevel="0" collapsed="false">
      <c r="A35" s="3" t="s">
        <v>556</v>
      </c>
      <c r="B35" s="3" t="n">
        <f aca="false">SUMPRODUCT((Egypt!$Q$5:$Q$61=2026)*(Egypt!$S$5:$S$61&lt;&gt;"Gap"))</f>
        <v>6</v>
      </c>
    </row>
    <row r="37" customFormat="false" ht="15" hidden="false" customHeight="false" outlineLevel="0" collapsed="false">
      <c r="A37" s="2" t="s">
        <v>557</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2026-08-23T22:19:55Z</dcterms:created>
  <dc:creator>openpyxl</dc:creator>
  <dc:description/>
  <dc:language>en-US</dc:language>
  <cp:lastModifiedBy/>
  <dcterms:modified xsi:type="dcterms:W3CDTF">2026-08-24T05:19:58Z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