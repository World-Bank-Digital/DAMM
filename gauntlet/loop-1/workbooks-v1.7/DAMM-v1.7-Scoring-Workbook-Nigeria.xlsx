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Nigeria"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4" name="_xlnm.Print_Area" vbProcedure="false">Nigeria!$A$1:$U$107</definedName>
    <definedName function="false" hidden="false" localSheetId="4" name="_xlnm.Print_Titles" vbProcedure="false">Nigeria!$4:$4</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<sst xmlns="http://schemas.openxmlformats.org/spreadsheetml/2006/main" count="913" uniqueCount="566">
  <si>
    <t xml:space="preserve">DAMM v1.7 — Scoring Workbook</t>
  </si>
  <si>
    <t xml:space="preserve">Digital Agriculture Maturity Model · draft for review · August 2026</t>
  </si>
  <si>
    <t xml:space="preserve">This file is the Nigeria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</si>
  <si>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</si>
  <si>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</si>
  <si>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</si>
  <si>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</si>
  <si>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</si>
  <si>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</si>
  <si>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</si>
  <si>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</si>
  <si>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</si>
  <si>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</si>
  <si>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</si>
  <si>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</si>
  <si>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</si>
  <si>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</si>
  <si>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</si>
  <si>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</si>
  <si>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</si>
  <si>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</si>
  <si>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</si>
  <si>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</si>
  <si>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</si>
  <si>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</si>
  <si>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</si>
  <si>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</si>
  <si>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</si>
  <si>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</si>
  <si>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</si>
  <si>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</si>
  <si>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</si>
  <si>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</si>
  <si>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</si>
  <si>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</si>
  <si>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</si>
  <si>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</si>
  <si>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</si>
  <si>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</si>
  <si>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</si>
  <si>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</si>
  <si>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</si>
  <si>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</si>
  <si>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</si>
  <si>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</si>
  <si>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</si>
  <si>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</si>
  <si>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t>
  </si>
  <si>
    <t xml:space="preserve">Leapfrog threshold</t>
  </si>
  <si>
    <t xml:space="preserve">|mean(Foundation) − mean(Transformation)| above this raises a structural flag.</t>
  </si>
  <si>
    <t xml:space="preserve">Band: Nascent</t>
  </si>
  <si>
    <t xml:space="preserve">1.0 – &lt;1.8</t>
  </si>
  <si>
    <t xml:space="preserve">Half-open bands; a pillar band in parentheses means judged, gap and held rows outnumber the levelled measured and documented ones.</t>
  </si>
  <si>
    <t xml:space="preserve">Band: Emerging</t>
  </si>
  <si>
    <t xml:space="preserve">1.8 – &lt;2.6</t>
  </si>
  <si>
    <t xml:space="preserve">Band: Established</t>
  </si>
  <si>
    <t xml:space="preserve">2.6 – &lt;3.4</t>
  </si>
  <si>
    <t xml:space="preserve">Band: Advanced</t>
  </si>
  <si>
    <t xml:space="preserve">3.4 – &lt;4.2</t>
  </si>
  <si>
    <t xml:space="preserve">Band: Transformative</t>
  </si>
  <si>
    <t xml:space="preserve">4.2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</si>
  <si>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</si>
  <si>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</si>
  <si>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</si>
  <si>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</si>
  <si>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</si>
  <si>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</si>
  <si>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</si>
  <si>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</si>
  <si>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</si>
  <si>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</si>
  <si>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</si>
  <si>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</si>
  <si>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</si>
  <si>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</si>
  <si>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</si>
  <si>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</si>
  <si>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</si>
  <si>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</si>
  <si>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</si>
  <si>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</si>
  <si>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</si>
  <si>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</si>
  <si>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</si>
  <si>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</si>
  <si>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</si>
  <si>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</si>
  <si>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</si>
  <si>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</si>
  <si>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</si>
  <si>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</si>
  <si>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</si>
  <si>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</si>
  <si>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</si>
  <si>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</si>
  <si>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</si>
  <si>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</si>
  <si>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</si>
  <si>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</si>
  <si>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</si>
  <si>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</si>
  <si>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</si>
  <si>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</si>
  <si>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</si>
  <si>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</si>
  <si>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</si>
  <si>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</si>
  <si>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</si>
  <si>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</si>
  <si>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</si>
  <si>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</si>
  <si>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Nigeria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</si>
  <si>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</si>
  <si>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</si>
  <si>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</si>
  <si>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</si>
  <si>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</si>
  <si>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</si>
  <si>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</si>
  <si>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</si>
  <si>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</si>
  <si>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</si>
  <si>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</si>
  <si>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</si>
  <si>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</si>
  <si>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</si>
  <si>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</si>
  <si>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</si>
  <si>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</si>
  <si>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</si>
  <si>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</si>
  <si>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</si>
  <si>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</si>
  <si>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</si>
  <si>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</si>
  <si>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</si>
  <si>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</si>
  <si>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</si>
  <si>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</si>
  <si>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</si>
  <si>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</si>
  <si>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</si>
  <si>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</si>
  <si>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</si>
  <si>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</si>
  <si>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</si>
  <si>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https://api.worldbank.org/v2/country/NGA/indicator/NV.AGR.EMPL.KD?format=json&amp;mrnev=1&amp;per_page=5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</si>
  <si>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</si>
  <si>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</si>
  <si>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</si>
  <si>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</si>
  <si>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https://api.worldbank.org/v2/country/NGA/indicator/AG.YLD.CREL.KG?format=json&amp;mrnev=1&amp;per_page=5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</si>
  <si>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</si>
  <si>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</si>
  <si>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</si>
  <si>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</si>
  <si>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https://api.worldbank.org/v2/country/NGA/indicator/SL.AGR.EMPL.ZS?format=json&amp;mrnev=1&amp;per_page=5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</si>
  <si>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</si>
  <si>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</si>
  <si>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</si>
  <si>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</si>
  <si>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https://api.worldbank.org/v2/country/NGA/indicator/AG.PRD.FOOD.XD?format=json&amp;mrnev=1&amp;per_page=5</t>
  </si>
  <si>
    <t xml:space="preserve">1.5</t>
  </si>
  <si>
    <t xml:space="preserve">Post-harvest loss rate (%)</t>
  </si>
  <si>
    <t xml:space="preserve">Cereals only, APHLIS dry-weight postharvest loss estimates 2022 (cumulative harvest, drying, handling, storage, transport, market): maize 17.4%, sorghum 12.3%, rice 11.7%, millet 9.5% (range 9.5-17.4%). No all-crop natio</t>
  </si>
  <si>
    <t xml:space="preserve">APHLIS - Postharvest losses in Nigeria 2022, dry weight losses (%)</t>
  </si>
  <si>
    <t xml:space="preserve">https://www.aphlis.net/en/data/tables/dry-weight-losses/NG/all-crops/2022?metric=prc</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</si>
  <si>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</si>
  <si>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</si>
  <si>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</si>
  <si>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</si>
  <si>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'formal market access' share exists. FAO Smallholder Data Portrait (LSMS-ISA 2012/13): 100% of crop-selling smallholder households sold through informal channels (formal-channel participation ~0%); 94% sold i</t>
  </si>
  <si>
    <t xml:space="preserve">FAO Small Family Farms Country Factsheet - Nigeria (Smallholder Data Portrait, LSMS survey 2013), FAO 2018, I9930EN</t>
  </si>
  <si>
    <t xml:space="preserve">https://openknowledge.fao.org/server/api/core/bitstreams/8ce31a78-2848-4388-87a9-a3b1abb73e40/content</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</si>
  <si>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</si>
  <si>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</si>
  <si>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</si>
  <si>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</si>
  <si>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7% of smallholder households were credit beneficiaries (FAO Smallholder Data Portrait, LSMS-ISA 2012/13; 'other farms' 6%). Fresher national survey (EFInA A2F 2023): ~2% of farmers borrowed from formal providers in the p</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</si>
  <si>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</si>
  <si>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</si>
  <si>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</si>
  <si>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</si>
  <si>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national estimate. Regional T2 evidence: survey of smallholder farmers in Nigeria's North Central and Northwest zones (CABI Agriculture and Bioscience, Sept 2023; fieldwork 2022) - 87.2% had adopted at least one clima</t>
  </si>
  <si>
    <t xml:space="preserve">State of climate smart agriculture (CSA) practices in the North Central and Northwest zones Nigeria - CABI Agriculture and Bioscience (2023)</t>
  </si>
  <si>
    <t xml:space="preserve">https://doi.org/10.1186/s43170-023-00156-4</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</si>
  <si>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</si>
  <si>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</si>
  <si>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</si>
  <si>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</si>
  <si>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</si>
  <si>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https://api.worldbank.org/v2/country/NGA/indicator/SN.ITK.DEFC.ZS?format=json&amp;mrnev=1&amp;per_page=5</t>
  </si>
  <si>
    <t xml:space="preserve">8.5</t>
  </si>
  <si>
    <t xml:space="preserve">Women who own land (% holders)</t>
  </si>
  <si>
    <t xml:space="preserve">NEED,EQ</t>
  </si>
  <si>
    <t xml:space="preserve">SDG 5.a.1(b): women are 31.6% of owners or rights-bearers of agricultural land (Nigeria GHS-Panel Wave 4, 2018/19; earlier waves 24.0% in 2013, 23.4% in 2016). SDG 5.a.1(a): 23.5% of the female agricultural population ho</t>
  </si>
  <si>
    <t xml:space="preserve">UN SDG Global Database - indicator 5.a.1, Nigeria (series SP_GNP_WNOWNS and SP_LGL_LNDAGSEC; source: NBS General Household Survey Panel)</t>
  </si>
  <si>
    <t xml:space="preserve">https://unstats.un.org/sdgapi/v1/sdg/Indicator/Data?indicator=5.a.1&amp;areaCode=566</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</si>
  <si>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</si>
  <si>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</si>
  <si>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</si>
  <si>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</si>
  <si>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</si>
  <si>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</si>
  <si>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Rural 4G population coverage: 48% (2024, GSMA geospatial coverage modeling). National population coverage as at Dec 2024 (NCC Table 3): 2G 95.31%, 3G 89.42%, 4G LTE 84.60%, 5G 13.28%. A rural 3G-or-above figure is not p</t>
  </si>
  <si>
    <t xml:space="preserve">GSMA, Sub-Saharan Africa 2024 Year in Review (Jan 2025), p.9 — geospatial analysis: Nigeria 4G coverage 41% (2019) to 84% (2024), rural 48%</t>
  </si>
  <si>
    <t xml:space="preserve">https://www.gsma.com/about-us/regions/sub-saharan-africa/wp-content/uploads/2025/01/GSMA-Sub-Saharan-Africa-2024-Year-In-Review.pdf</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</si>
  <si>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</si>
  <si>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</si>
  <si>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</si>
  <si>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</si>
  <si>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https://api.worldbank.org/v2/country/NGA/indicator/IT.NET.USER.ZS?format=json&amp;mrnev=1&amp;per_page=5</t>
  </si>
  <si>
    <t xml:space="preserve">2.5</t>
  </si>
  <si>
    <t xml:space="preserve">Mobile broadband price (% GNI pc)</t>
  </si>
  <si>
    <t xml:space="preserve">ITU DataHub — Data-only mobile broadband basket (2GB/month), Nigeria, % of GNI per capita, 2025 observation (price data collected 2025)</t>
  </si>
  <si>
    <t xml:space="preserve">https://datahub.itu.int/data/?e=NGA&amp;i=34617</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</si>
  <si>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</si>
  <si>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</si>
  <si>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</si>
  <si>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NBS / World Bank LSMS, Nigeria General Household Survey–Panel Wave 5 (2023/24) Survey Report, Table 3.15 'Household Assets by place of residence' (p.102): smartphone — rural 28.9%, urban 57.1%, national 37.8% (share of households)</t>
  </si>
  <si>
    <t xml:space="preserve">https://www.nigerianstat.gov.ng/pdfuploads/GHS-Panel%20Wave%205%20-%20Survey%20Report.pdf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</si>
  <si>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</si>
  <si>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</si>
  <si>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</si>
  <si>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</si>
  <si>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https://api.worldbank.org/v2/country/NGA/indicator/EG.ELC.ACCS.RU.ZS?format=json&amp;mrnev=1&amp;per_page=5</t>
  </si>
  <si>
    <t xml:space="preserve">2.11</t>
  </si>
  <si>
    <t xml:space="preserve">Device financing/subsidy schemes</t>
  </si>
  <si>
    <t xml:space="preserve">Device financing schemes EXIST and multiple are operating. (a) Telco-led/commercial (operating): MTN Nigeria + Intelligra BNPL smartphone financing (launched Oct 2022; 6–12-month instalments, bundled data/airtime); Globa</t>
  </si>
  <si>
    <t xml:space="preserve">CREDICORP (FGN) — C.L.I.C.K.D. programme page (official, undated; accessed 2026-08-22); GSMA, Accelerating Smartphone Adoption in Africa (Nov 2025), Nigeria chapter p.60</t>
  </si>
  <si>
    <t xml:space="preserve">https://credicorp.ng/clickd</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</si>
  <si>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</si>
  <si>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</si>
  <si>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</si>
  <si>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</si>
  <si>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</si>
  <si>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</si>
  <si>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Nigeria country profile (UN E-Government Survey 2024)</t>
  </si>
  <si>
    <t xml:space="preserve">https://publicadministration.un.org/egovkb/en-us/Data/Country-Information/id/125-Nigeria</t>
  </si>
  <si>
    <t xml:space="preserve">3.3</t>
  </si>
  <si>
    <t xml:space="preserve">National farmer registry</t>
  </si>
  <si>
    <t xml:space="preserve">FIN,AGI,ADV</t>
  </si>
  <si>
    <t xml:space="preserve">UC:FIN,AGI</t>
  </si>
  <si>
    <t xml:space="preserve">National Digital Farmers Registry: NIN-anchored FMAFS-NIMC farmer registry + G2P biometric card project launched 16 Jan 2025; National Stakeholder Workshop on registry best practices / farmer-data harmonisation held 20 N</t>
  </si>
  <si>
    <t xml:space="preserve">NIMC press release: FMAFS/NIMC NIN-Enabled Farmer Registry &amp; G2P Card Project (16 Jan 2025)</t>
  </si>
  <si>
    <t xml:space="preserve">https://nimc.gov.ng/press-releases/fmafs-nimc-nin-enabled-farmer-registry--g2p-card-project</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</si>
  <si>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</si>
  <si>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</si>
  <si>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</si>
  <si>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</si>
  <si>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National digital cadastre: Announced, not operating. FG-World Bank National Land Registration, Documentation and Titling Programme (NLRDTP, branded 'Land4Growth') agreement signed 11 Sep 2024; National (Digital) Land Inf</t>
  </si>
  <si>
    <t xml:space="preserve">FMHUD: FG Partners World Bank To Develop National Land Digital System (14 Nov 2024)</t>
  </si>
  <si>
    <t xml:space="preserve">https://fmhud.gov.ng/read/3387</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</si>
  <si>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</si>
  <si>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</si>
  <si>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</si>
  <si>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</si>
  <si>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NBS Microdata Catalog operating: 107 studies (checked 22 Aug 2026), including NASC 2022 agricultural census microdata (30,546 EAs; 767/774 LGAs; DDI/XML/JSON metadata; 5,342 downloads) and NASS 2023 with public-use files</t>
  </si>
  <si>
    <t xml:space="preserve">NBS Microdata Catalog — National Agricultural Sample Census 2022 (NGA-NBS-NASC-2022)</t>
  </si>
  <si>
    <t xml:space="preserve">https://microdata.nigerianstat.gov.ng/index.php/catalog/79</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</si>
  <si>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</si>
  <si>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</si>
  <si>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</si>
  <si>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</si>
  <si>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NiMet operational national service: 2026 Seasonal Climate Prediction unveiled 10 Feb 2026 — annual national product with state-level onset/cessation, dry-spell and temperature detail explicitly directed at farmers and ra</t>
  </si>
  <si>
    <t xml:space="preserve">NiMet: NiMet Unveils 2026 Seasonal Climate Prediction (10 Feb 2026)</t>
  </si>
  <si>
    <t xml:space="preserve">https://nimet.gov.ng/news?id=194</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</si>
  <si>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</si>
  <si>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</si>
  <si>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</si>
  <si>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</si>
  <si>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 agriculture is institutionally adopted but operationally early. NASRDA (Dept of Space Science Applications) has an MoU with FMAFS to supply satellite imagery, real-time monitoring and technical leadership</t>
  </si>
  <si>
    <t xml:space="preserve">Space in Africa: NASRDA Opens Three-Day Workshop on Satellite-Based Irrigation Mapping in Nigeria (4 Mar 2026)</t>
  </si>
  <si>
    <t xml:space="preserve">https://spaceinafrica.com/2026/03/04/nasrda-opens-three-day-workshop-on-satellite-based-irrigation-mapping-in-nigeria/</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</si>
  <si>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</si>
  <si>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</si>
  <si>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</si>
  <si>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</si>
  <si>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Nigerian Farmers Soil Health Scheme (NFSHS) launched by President Tinubu (FMAFS, reported 15 Oct 2025) with three components: soil health cards, soil-testing laboratories, and the Nigeria Soil Information System (NiSIS)</t>
  </si>
  <si>
    <t xml:space="preserve">FMAFS: FG Begins Validation of First National Soil Policy, Using Ward-Level Data (Jul 2026)</t>
  </si>
  <si>
    <t xml:space="preserve">https://agriculture.gov.ng/fg-begins-validation-of-first-national-soil-policy-using-ward-level-data-to-boost-food-security-cut-costs/</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</si>
  <si>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</si>
  <si>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</si>
  <si>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</si>
  <si>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</si>
  <si>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 or schema found after active refutation attempts. Nearest artifacts, none ag-specific and none an adopted ag-data standard: Nigeria e-Government Interoperability F</t>
  </si>
  <si>
    <t xml:space="preserve">NITDA: Nigeria e-Government Interoperability Framework (Ne-GIF) — nearest adjacent artifact, government-wide only</t>
  </si>
  <si>
    <t xml:space="preserve">https://nitda.gov.ng/wp-content/uploads/2020/11/Ne-GIFFinal1.pdf</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</si>
  <si>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</si>
  <si>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</si>
  <si>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</si>
  <si>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</si>
  <si>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NDPA 2023 in force (assented 12 June 2023, per official Act text); NDPC operational and enforcing: GAID 2025 issued 20 March 2025 (signed by National Commissioner Olatunji); NDPC Annual Report 2025 records 146 investigat</t>
  </si>
  <si>
    <t xml:space="preserve">NDPA 2023 (Act text); NDPC Annual Report 2025 (146 investigations, 306 DPCOs); GAID 2025</t>
  </si>
  <si>
    <t xml:space="preserve">https://ndpc.gov.ng/wp-content/uploads/2026/06/NDPC-Annual-Report-2025-1.pdf</t>
  </si>
  <si>
    <t xml:space="preserve">4.2</t>
  </si>
  <si>
    <t xml:space="preserve">Cybersecurity framework (ITU GCI)</t>
  </si>
  <si>
    <t xml:space="preserve">ITU Global Cybersecurity Index 2024 (5th edition), Nigeria country profile, report p.45</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</si>
  <si>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</si>
  <si>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</si>
  <si>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</si>
  <si>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</si>
  <si>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(report, full rankings table)</t>
  </si>
  <si>
    <t xml:space="preserve">https://oxfordinsights.com/wp-content/uploads/2024/12/2024-Government-AI-Readiness-Index-2.pdf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</si>
  <si>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</si>
  <si>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</si>
  <si>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</si>
  <si>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adopted national digital agriculture strategy as of Aug 2026. The Nigeria Digital Agriculture Strategy (NDAS) 2020-2030 remains a DRAFT (Nov 2020) on NITDA's site, still framed as open for stakeholder input. The opera</t>
  </si>
  <si>
    <t xml:space="preserve">NITDA - Draft National Digital Agriculture Strategy (NDAS) page + draft PDF (Nov 2020)</t>
  </si>
  <si>
    <t xml:space="preserve">https://nitda.gov.ng/draft-national-digital-agriculture-strategy-ndas/</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</si>
  <si>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</si>
  <si>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</si>
  <si>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</si>
  <si>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</si>
  <si>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Absent - refutation attempted and failed. No agricultural data governance framework (sector rules on agricultural data sharing, ownership, or access) was found in force. NASIP 2026 (the sector's flagship plan) contains n</t>
  </si>
  <si>
    <t xml:space="preserve">National Agri-food Systems Investment Plan (NASIP) 2026, FMAFS - full text checked (negative finding)</t>
  </si>
  <si>
    <t xml:space="preserve">https://agriculture.gov.ng/wp-content/uploads/2026/03/Agricfood-System-Investment-Plan-1.pdf</t>
  </si>
  <si>
    <t xml:space="preserve">4.6</t>
  </si>
  <si>
    <t xml:space="preserve">National AI strategy with agriculture component</t>
  </si>
  <si>
    <t xml:space="preserve">Final National Artificial Intelligence Strategy published September 2025 (81 pp, FMCIDE, hosted on NCAIR/NITDA official site, dated 19-09-2025, no draft watermark; the August 2024 predecessor was watermarked DRAFT). Agri</t>
  </si>
  <si>
    <t xml:space="preserve">National Artificial Intelligence Strategy, September 2025 (FMCIDE/NCAIR)</t>
  </si>
  <si>
    <t xml:space="preserve">https://ncair.nitda.gov.ng/wp-content/uploads/2025/09/National-Artificial-Intelligence-Strategy-19092025.pdf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</si>
  <si>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</si>
  <si>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</si>
  <si>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</si>
  <si>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</si>
  <si>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</si>
  <si>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 ID ownership, total (% of population ages 15+), Nigeria</t>
  </si>
  <si>
    <t xml:space="preserve">https://api.worldbank.org/v2/country/NGA/indicator/ID.OWN.TOTL.ZS?format=json&amp;source=89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</si>
  <si>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</si>
  <si>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</si>
  <si>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</si>
  <si>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</si>
  <si>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standing inter-ministerial body coordinating digital agriculture (FMAFS + FMCIDE/NITDA) found - refutation attempted. Coordination is project-based and multiplying: FMAFS-NIMC NIN-enabled Farmer Registry &amp; G2P Card pr</t>
  </si>
  <si>
    <t xml:space="preserve">FMAFS - Nigeria launches National Digital Farmers Registry (workshop + Multi-Stakeholder Knowledge-Sharing Platform), 20 Nov 2025</t>
  </si>
  <si>
    <t xml:space="preserve">https://agriculture.gov.ng/nigeria-launches-national-digital-farmers-registry-to-strengthen-food-security/</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</si>
  <si>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</si>
  <si>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</si>
  <si>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</si>
  <si>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</si>
  <si>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</si>
  <si>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https://api.worldbank.org/v2/country/NGA/indicator/SE.ADT.LITR.ZS?format=json&amp;mrnev=1&amp;per_page=5</t>
  </si>
  <si>
    <t xml:space="preserve">5.3</t>
  </si>
  <si>
    <t xml:space="preserve">Tertiary STEM enrollment (% gross)</t>
  </si>
  <si>
    <t xml:space="preserve">World Bank WDI SE.TER.ENRR</t>
  </si>
  <si>
    <t xml:space="preserve">https://api.worldbank.org/v2/country/NGA/indicator/SE.TER.ENRR?format=json&amp;mrnev=1&amp;per_page=5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</si>
  <si>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</si>
  <si>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</si>
  <si>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</si>
  <si>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PROXY (rural population, not farmers - construct defect logged): MICS 2021 measured basic digital-skill tasks with rural/gender splits; rural shares in single digits to low teens</t>
  </si>
  <si>
    <t xml:space="preserve">World Bank-Mastercard Foundation 'Digital Skills in Nigeria' (MICS 2021/NBS-UNICEF)</t>
  </si>
  <si>
    <t xml:space="preserve">https://thedocs.worldbank.org/en/doc/a607bb6e3b76d2be0f3db8db34dcf73e-0140022025</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</si>
  <si>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</si>
  <si>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</si>
  <si>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</si>
  <si>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</si>
  <si>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</si>
  <si>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Operating — NAERLS (federal extension agency under FMAFS, at ABU Zaria) has run a dedicated e-Extension department since January 2017, operating the National Farmers Helpline call center (Hausa/Igbo/Yoruba/English, natio</t>
  </si>
  <si>
    <t xml:space="preserve">FMINO official release: FMAFS and ACReSAL Partner with World Bank to Transition ; NAERLS e-Extension &amp; NFHL pages</t>
  </si>
  <si>
    <t xml:space="preserve">https://fmino.gov.ng/fmafs-and-acresal-partner-with-world-bank-to-transition-digital-precision-agricultural-extension-platform-dpae-for-enhanced-climate-resilience/</t>
  </si>
  <si>
    <t xml:space="preserve">5.7</t>
  </si>
  <si>
    <t xml:space="preserve">MoAg digital/AI unit</t>
  </si>
  <si>
    <t xml:space="preserve">Absent as a standing unit — FMAFS's official published structure (11 service departments, 12 technical departments, 3 units) names no digital, ICT, data, e-agriculture or AI department or unit. Digital-agriculture functi</t>
  </si>
  <si>
    <t xml:space="preserve">FMAFS — Structure (official ministry organogram page)</t>
  </si>
  <si>
    <t xml:space="preserve">https://agriculture.gov.ng/structure/</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</si>
  <si>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</si>
  <si>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</si>
  <si>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</si>
  <si>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Operating (generic digital-talent pipeline; agtech-specific bridging undocumented) — the federal 3MTT (3 Million Technical Talent) programme, run by the Federal Ministry of Communications, Innovation &amp; Digital Economy wi</t>
  </si>
  <si>
    <t xml:space="preserve">3MTT — official programme site (FMCIDE/NITDA)</t>
  </si>
  <si>
    <t xml:space="preserve">https://3mtt.nitda.gov.ng/</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</si>
  <si>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</si>
  <si>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</si>
  <si>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</si>
  <si>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</si>
  <si>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NCC Baseline Study on the Level of Digital Skills in Nigeria (RD-1) — read; measures women's general digital skills, no digital-agriculture workforce split; GSMA AgriTech programme page attempted for women-in-agritech workforce data (HTTP 403, unretrievable at capture). No NBS or ILO series for digital-ag workforce gender composition was located before the session's search budget was exhausted. Accessed 2026-08-22.</t>
  </si>
  <si>
    <t xml:space="preserve">Structured source search, 22 August 2026</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</si>
  <si>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</si>
  <si>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</si>
  <si>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</si>
  <si>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</si>
  <si>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Executive Version — GII 2025 rankings table (row: '105 Nigeria 21.1 18 11')</t>
  </si>
  <si>
    <t xml:space="preserve">https://www.wipo.int/edocs/pubdocs/en/wipo-pub-2000-2025-exec-en-global-innovation-index-2025.pdf</t>
  </si>
  <si>
    <t xml:space="preserve">6.3</t>
  </si>
  <si>
    <t xml:space="preserve">Business Ready (B-READY)</t>
  </si>
  <si>
    <t xml:space="preserve">DATA GAP — searched World Bank B-READY covered-economies page (Nigeria absent from the 2024 cohort of 50 and the 2025 cohort of +52; Nigeria listed in the planned 2026 cohort of +62), B-READY reports/publications pages (latest published edition as of 2026-08-22 is B-READY 2025; the 2026 edition that first covers Nigeria is not yet released). No B-READY score for Nigeria exists.</t>
  </si>
  <si>
    <t xml:space="preserve">6.4</t>
  </si>
  <si>
    <t xml:space="preserve">Agtech venture ecosystem</t>
  </si>
  <si>
    <t xml:space="preserve">Transformation</t>
  </si>
  <si>
    <t xml:space="preserve">Operating, funded agtech cohort with named ventures: ThriveAgric (named in AgFunder H1-2024 Africa report coverage), Crop2Cash (GSMA Innovation Fund grantee; 500,000+ smallholders reached), Hello Tractor (GSMA grantee, N</t>
  </si>
  <si>
    <t xml:space="preserve">AgFunder Developing Markets AgriFoodTech Investment Report 2025 (via AgFunderNews report summary, 2024 data)</t>
  </si>
  <si>
    <t xml:space="preserve">https://agfundernews.com/new-report-agrifoodtech-funding-in-developing-markets-surges-63-bucking-global-decline</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</si>
  <si>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</si>
  <si>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</si>
  <si>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</si>
  <si>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</si>
  <si>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named PPPs in digital agriculture, mostly newly signed: (1) FMAFS + Cooperative Federation of Nigeria + Seamfix Ltd MOU (12 Aug 2026) to deploy the National Cooperative Digital Identity System — National Coopera</t>
  </si>
  <si>
    <t xml:space="preserve">FMAFS: FG signs MOU to deploy National Cooperative Digital Identity System (12 Aug 2026)</t>
  </si>
  <si>
    <t xml:space="preserve">https://agriculture.gov.ng/fg-signs-mou-to-deploy-national-cooperative-digital-identity-system-announces-6-month-revalidation-for-all-cooperatives-2/</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</si>
  <si>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</si>
  <si>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</si>
  <si>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</si>
  <si>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Absent — no registered agriculture digital public good found in Nigerian national use. The DPG registry's agriculture-relevant entries (farmOS, FarmStack, FAO Digital Services Portfolio — AgriMarketplace and Weather &amp; Cr</t>
  </si>
  <si>
    <t xml:space="preserve">DPG Alliance registry dataset, digitalpublicgoods/ entries (repo archived Aug 2024)</t>
  </si>
  <si>
    <t xml:space="preserve">https://github.com/DPGAlliance/publicgoods-candidates/tree/main/digitalpublicgoods</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</si>
  <si>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</si>
  <si>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</si>
  <si>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</si>
  <si>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</si>
  <si>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Interim (2024): 88% of Nigerian MSMEs use smartphones in business operations; 57% desktop/laptop; construct does not map to 'digital tools adoption %'. World Bank Enterprise Surveys NEW Nigeria baseline (fieldwork Feb-Sep 2025, 1,043 firms) released Oct 2025 - digital module to be pulled at refresh</t>
  </si>
  <si>
    <t xml:space="preserve">GSMA/industry MSME survey (interim); WB Enterprise Surveys Nigeria 2025</t>
  </si>
  <si>
    <t xml:space="preserve">https://www.enterprisesurveys.org/content/dam/enterprisesurveys/documents/country</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</si>
  <si>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</si>
  <si>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</si>
  <si>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</si>
  <si>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</si>
  <si>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Agri-fintech rails present and operating with quantified smallholder reach on one rail: Crop2Cash (USSD CashCard — digital identity, input finance, payments for unbanked farmers) 'has reached over 500,000 smallholder far</t>
  </si>
  <si>
    <t xml:space="preserve">GSMA M4D blog: 'Ensuring food security by solving the agricultural information gap' (29 Aug 2024; Crop2Cash figures)</t>
  </si>
  <si>
    <t xml:space="preserve">https://www.gsma.com/solutions-and-impact/connectivity-for-good/mobile-for-development/blog/ensuring-food-security-by-solving-the-agricultural-information-gap/</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</si>
  <si>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</si>
  <si>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</si>
  <si>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</si>
  <si>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At least one digital advisory platform verified above the 10k-user bar: Crop2Cash — 500,000+ smallholder farmers reached via USSD-based advisory (climate-smart content) plus marketplace/finance (reported by GSMA, grantee</t>
  </si>
  <si>
    <t xml:space="preserve">GSMA M4D blog: 'Ensuring food security by solving the agricultural information gap' (29 Aug 2024)</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</si>
  <si>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</si>
  <si>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</si>
  <si>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</si>
  <si>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</si>
  <si>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Operating agricultural e-commerce/marketplace platforms, with stale or self-reported scale figures: AFEX (commodities exchange with digital trading platform, Abuja/Lagos) — 'over 300,000 farmers on our platform' per its</t>
  </si>
  <si>
    <t xml:space="preserve">AgFunderNews: 'Q&amp;A: AFEX's $100m bond aims to unlock climate-smart capital for Nigeria's ag sector' (14 Jan 2022)</t>
  </si>
  <si>
    <t xml:space="preserve">https://agfundernews.com/qa-afexs-100-million-bond-aims-to-unlock-climate-smart-capital-for-nigerias-agricultural-sector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</si>
  <si>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</si>
  <si>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</si>
  <si>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</si>
  <si>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</si>
  <si>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National Agro-Productivity System (NAPS) — billed as Nigeria's first national crop-monitoring platform powered by satellite imagery and AI (5-day-refresh imagery, automatic farm identification, real-time yield/land-use/f</t>
  </si>
  <si>
    <t xml:space="preserve">Space in Africa: 'Nigeria to Deploy AI and Satellite-Powered Crop Monitoring System' (21 Jul 2026)</t>
  </si>
  <si>
    <t xml:space="preserve">https://spaceinafrica.com/2026/07/21/nigeria-to-deploy-ai-and-satellite-powered-crop-monitoring-system/</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</si>
  <si>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</si>
  <si>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</si>
  <si>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</si>
  <si>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</si>
  <si>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</si>
  <si>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General cross-sector AI/automated-decision safeguards adopted and in force; nothing agriculture-specific. NDPC General Application and Implementation Directive (GAID) 2025 under NDPA 2023 (document dated 20 Mar 2025; law</t>
  </si>
  <si>
    <t xml:space="preserve">NDPC, Nigeria Data Protection Act — General Application and Implementation Directive (GAID) 2025, 20 March 2025 (official PDF)</t>
  </si>
  <si>
    <t xml:space="preserve">https://ndpc.gov.ng/wp-content/uploads/2025/07/NDP-ACT-GAID-2025-MARCH-20TH.pdf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</si>
  <si>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</si>
  <si>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</si>
  <si>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</si>
  <si>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</si>
  <si>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</si>
  <si>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</si>
  <si>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</si>
  <si>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https://api.worldbank.org/v2/country/NGA/indicator/FX.OWN.TOTL.FE.ZS?format=json&amp;mrnev=1&amp;per_page=5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</si>
  <si>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</si>
  <si>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</si>
  <si>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</si>
  <si>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Global Findex Database 2025 — Mobile money account (% age 15+), Nigeria, 2024</t>
  </si>
  <si>
    <t xml:space="preserve">https://api.worldbank.org/v2/country/NGA/indicator/mobileaccount.t.d?source=28&amp;format=json</t>
  </si>
  <si>
    <t xml:space="preserve">8.6</t>
  </si>
  <si>
    <t xml:space="preserve">Gender gap in phone ownership (pp)</t>
  </si>
  <si>
    <t xml:space="preserve">EQ</t>
  </si>
  <si>
    <t xml:space="preserve">World Bank Global Findex Database 2025 — Own a mobile phone (% age 15+), Nigeria 2024: women 81.70 (con1.1), men 85.84 (con1.2); gap = 4.1 pp (derived by subtraction)</t>
  </si>
  <si>
    <t xml:space="preserve">https://api.worldbank.org/v2/country/NGA/indicator/con1.1?source=28&amp;format=json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</si>
  <si>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</si>
  <si>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</si>
  <si>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</si>
  <si>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</si>
  <si>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percentage measured. Closest datum with real provenance (stale, 2018-19): CTA/Dalberg 'Digitalisation of African Agriculture Report 2018-2019', Nigeria annex — ~0.5 million users of D4Ag solutions headquarter</t>
  </si>
  <si>
    <t xml:space="preserve">CTA/Dalberg, The Digitalisation of African Agriculture Report 2018-2019, Nigeria annex pp. 181-184 and endnote 172 (verified in full text)</t>
  </si>
  <si>
    <t xml:space="preserve">https://cgspace.cgiar.org/bitstreams/510cad0e-2b82-4a00-9be3-38a5bf346280/download</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</si>
  <si>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</si>
  <si>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</si>
  <si>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</si>
  <si>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</si>
  <si>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DATA GAP — searched: T1 ITU/NBS/Findex (no statistic on language coverage of digital agriculture services exists); T2 none located; T3 FMAFS/NAERLS (no service-language audit or registry published); T4 GSMA (gsma.com 403/404 to all fetches 2026-08-22), CTA/Dalberg D4Ag 2019 full text grepped for local-language evidence (mentions are Ghana/India examples — Farmerline, Esoko IVR, MyAgriGuru — no Nigeria share or count). No source names a percentage of Nigerian digital-ag services available in local languages.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</si>
  <si>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</si>
  <si>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</si>
  <si>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</si>
  <si>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Independent, peer-reviewed impact evidence EXISTS for digital agriculture in Nigeria. Anchor study (content verified at capture): Arouna, Michler, Yergo &amp; Saito (2021), 'One size fits all? Experimental evidence on the digi</t>
  </si>
  <si>
    <t xml:space="preserve">Arouna, Michler, Yergo &amp; Saito (2021), American Journal of Agricultural Economics 103(2): 596-619, doi:10.1111/ajae.12151</t>
  </si>
  <si>
    <t xml:space="preserve">https://doi.org/10.1111/ajae.12151</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</si>
  <si>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</si>
  <si>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</si>
  <si>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</si>
  <si>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T1 WDI/FAOSTAT (no climate-advisory-reach series); T3 NiMet: website unreachable 2026-08-22 (nimet.gov.ng returns a 307 redirect loop; www.nimet.gov.ng refuses connections), so SCP 2026 dissemination documentation could not be checked for a reach figure; T3 NAERLS: 2025 Agricultural Performance Survey release read — reports production, prices and climate risks but no percentage of farmers receiving weather/climate advisories, and the full APS PDF is not linked; T2: no national peer-reviewed reach estimate located at capture.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</si>
  <si>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</si>
  <si>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</si>
  <si>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</si>
  <si>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</si>
  <si>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</si>
  <si>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</si>
  <si>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</si>
  <si>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</si>
  <si>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</si>
  <si>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</si>
  <si>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</si>
  <si>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</si>
  <si>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</si>
  <si>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</si>
  <si>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</si>
  <si>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</si>
  <si>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</si>
  <si>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</si>
  <si>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</si>
  <si>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</si>
  <si>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</si>
  <si>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</si>
  <si>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</si>
  <si>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</si>
  <si>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</si>
  <si>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</si>
  <si>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bearing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</si>
  <si>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</si>
  <si>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</si>
  <si>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</si>
  <si>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</si>
  <si>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</si>
  <si>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</si>
  <si>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</si>
  <si>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</si>
  <si>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</si>
  <si>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</si>
  <si>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</si>
  <si>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 Suite of Food Security Indicators (FS), item 21035 'Cereal import dependency ratio (percent) (3-year average)', Nigeria, 2021-2023</t>
  </si>
  <si>
    <t xml:space="preserve">https://bulks-faostat.fao.org/production/Food_Security_Data_E_All_Data_(Normalized).zip</t>
  </si>
  <si>
    <t xml:space="preserve">not scored</t>
  </si>
  <si>
    <t xml:space="preserve">A1-CAND-IRR</t>
  </si>
  <si>
    <t xml:space="preserve">Irrigation coverage (% of cultivated/agricultural land equipped)</t>
  </si>
  <si>
    <t xml:space="preserve">World Bank WDI AG.LND.IRIG.AG.ZS</t>
  </si>
  <si>
    <t xml:space="preserve">https://api.worldbank.org/v2/country/NGA/indicator/AG.LND.IRIG.AG.ZS?format=json&amp;mrnev=1&amp;per_page=5</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</si>
  <si>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</si>
  <si>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</si>
  <si>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</si>
  <si>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</si>
  <si>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</si>
  <si>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</si>
  <si>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</si>
  <si>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</si>
  <si>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</si>
  <si>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</si>
  <si>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</si>
  <si>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</si>
  <si>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</si>
  <si>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</si>
  <si>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</si>
  <si>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</si>
  <si>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</si>
  <si>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</si>
  <si>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</si>
  <si>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</si>
  <si>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</si>
  <si>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</si>
  <si>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</si>
  <si>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</si>
  <si>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2011</t>
  </si>
  <si>
    <t xml:space="preserve">2013</t>
  </si>
  <si>
    <t xml:space="preserve">2017</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</si>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</sst>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axId val="45229842"/>
        <c:axId val="30793250"/>
      </c:radarChart>
      <c:catAx>
        <c:axId val="45229842"/>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30793250"/>
        <c:crosses val="autoZero"/>
        <c:auto val="1"/>
        <c:lblAlgn val="ctr"/>
        <c:lblOffset val="100"/>
        <c:noMultiLvlLbl val="0"/>
      </c:catAx>
      <c:valAx>
        <c:axId val="30793250"/>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5229842"/>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gapWidth val="150"/>
        <c:overlap val="0"/>
        <c:axId val="14402250"/>
        <c:axId val="62540668"/>
      </c:barChart>
      <c:catAx>
        <c:axId val="144022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540668"/>
        <c:crosses val="autoZero"/>
        <c:auto val="1"/>
        <c:lblAlgn val="ctr"/>
        <c:lblOffset val="100"/>
        <c:noMultiLvlLbl val="0"/>
      </c:catAx>
      <c:valAx>
        <c:axId val="6254066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440225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5</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5</c:v>
                </c:pt>
                <c:pt idx="1">
                  <c:v>2</c:v>
                </c:pt>
                <c:pt idx="2">
                  <c:v>7</c:v>
                </c:pt>
                <c:pt idx="3">
                  <c:v>5</c:v>
                </c:pt>
                <c:pt idx="4">
                  <c:v>4</c:v>
                </c:pt>
                <c:pt idx="5">
                  <c:v>8</c:v>
                </c:pt>
                <c:pt idx="6">
                  <c:v>2</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1</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0</c:v>
                </c:pt>
                <c:pt idx="2">
                  <c:v>0</c:v>
                </c:pt>
                <c:pt idx="3">
                  <c:v>0</c:v>
                </c:pt>
                <c:pt idx="4">
                  <c:v>1</c:v>
                </c:pt>
                <c:pt idx="5">
                  <c:v>1</c:v>
                </c:pt>
                <c:pt idx="6">
                  <c:v>2</c:v>
                </c:pt>
              </c:numCache>
            </c:numRef>
          </c:val>
        </c:ser>
        <c:gapWidth val="150"/>
        <c:overlap val="100"/>
        <c:axId val="3172254"/>
        <c:axId val="66923422"/>
      </c:barChart>
      <c:catAx>
        <c:axId val="31722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923422"/>
        <c:crosses val="autoZero"/>
        <c:auto val="1"/>
        <c:lblAlgn val="ctr"/>
        <c:lblOffset val="100"/>
        <c:noMultiLvlLbl val="0"/>
      </c:catAx>
      <c:valAx>
        <c:axId val="6692342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17225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2.5</c:v>
                </c:pt>
                <c:pt idx="1">
                  <c:v>2.62</c:v>
                </c:pt>
                <c:pt idx="2">
                  <c:v>2.71</c:v>
                </c:pt>
                <c:pt idx="3">
                  <c:v>3.25</c:v>
                </c:pt>
              </c:numCache>
            </c:numRef>
          </c:val>
        </c:ser>
        <c:gapWidth val="150"/>
        <c:overlap val="0"/>
        <c:axId val="563374"/>
        <c:axId val="56354412"/>
      </c:barChart>
      <c:catAx>
        <c:axId val="5633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6354412"/>
        <c:crosses val="autoZero"/>
        <c:auto val="1"/>
        <c:lblAlgn val="ctr"/>
        <c:lblOffset val="100"/>
        <c:noMultiLvlLbl val="0"/>
      </c:catAx>
      <c:valAx>
        <c:axId val="56354412"/>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6337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8</c:v>
                </c:pt>
                <c:pt idx="1">
                  <c:v>9</c:v>
                </c:pt>
                <c:pt idx="2">
                  <c:v>21</c:v>
                </c:pt>
                <c:pt idx="3">
                  <c:v>7</c:v>
                </c:pt>
                <c:pt idx="4">
                  <c:v>1</c:v>
                </c:pt>
              </c:numCache>
            </c:numRef>
          </c:val>
        </c:ser>
        <c:gapWidth val="150"/>
        <c:overlap val="0"/>
        <c:axId val="93719420"/>
        <c:axId val="26044353"/>
      </c:barChart>
      <c:catAx>
        <c:axId val="937194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6044353"/>
        <c:crosses val="autoZero"/>
        <c:auto val="1"/>
        <c:lblAlgn val="ctr"/>
        <c:lblOffset val="100"/>
        <c:noMultiLvlLbl val="0"/>
      </c:catAx>
      <c:valAx>
        <c:axId val="2604435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371942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2011</c:v>
                </c:pt>
                <c:pt idx="1">
                  <c:v>2013</c:v>
                </c:pt>
                <c:pt idx="2">
                  <c:v>2017</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2</c:v>
                </c:pt>
                <c:pt idx="2">
                  <c:v>0</c:v>
                </c:pt>
                <c:pt idx="3">
                  <c:v>2</c:v>
                </c:pt>
                <c:pt idx="4">
                  <c:v>2</c:v>
                </c:pt>
                <c:pt idx="5">
                  <c:v>4</c:v>
                </c:pt>
                <c:pt idx="6">
                  <c:v>1</c:v>
                </c:pt>
                <c:pt idx="7">
                  <c:v>18</c:v>
                </c:pt>
                <c:pt idx="8">
                  <c:v>9</c:v>
                </c:pt>
                <c:pt idx="9">
                  <c:v>14</c:v>
                </c:pt>
              </c:numCache>
            </c:numRef>
          </c:val>
        </c:ser>
        <c:gapWidth val="150"/>
        <c:overlap val="0"/>
        <c:axId val="32929754"/>
        <c:axId val="85818382"/>
      </c:barChart>
      <c:catAx>
        <c:axId val="329297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5818382"/>
        <c:crosses val="autoZero"/>
        <c:auto val="1"/>
        <c:lblAlgn val="ctr"/>
        <c:lblOffset val="100"/>
        <c:noMultiLvlLbl val="0"/>
      </c:catAx>
      <c:valAx>
        <c:axId val="8581838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292975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2.6</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3494.89275307711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3</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1558</v>
      </c>
      <c r="N6" s="16" t="s">
        <v>150</v>
      </c>
      <c r="O6" s="16" t="s">
        <v>151</v>
      </c>
      <c r="P6" s="11" t="s">
        <v>88</v>
      </c>
      <c r="Q6" s="11" t="n">
        <v>2024</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2</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33.5336954038865</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2</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119.85</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4</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88</v>
      </c>
      <c r="Q9" s="11" t="n">
        <v>2022</v>
      </c>
      <c r="R9" s="11" t="n">
        <v>3</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3</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57.4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2013</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172</v>
      </c>
      <c r="O11" s="16" t="s">
        <v>173</v>
      </c>
      <c r="P11" s="11" t="s">
        <v>92</v>
      </c>
      <c r="Q11" s="11" t="n">
        <v>2013</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179</v>
      </c>
    </row>
    <row r="12" customFormat="false" ht="57.45" hidden="false" customHeight="false" outlineLevel="0" collapsed="false">
      <c r="A12" s="15" t="s">
        <v>180</v>
      </c>
      <c r="B12" s="10" t="s">
        <v>181</v>
      </c>
      <c r="C12" s="15" t="s">
        <v>140</v>
      </c>
      <c r="D12" s="15" t="s">
        <v>141</v>
      </c>
      <c r="E12" s="15" t="s">
        <v>182</v>
      </c>
      <c r="F12" s="15"/>
      <c r="G12" s="15" t="s">
        <v>143</v>
      </c>
      <c r="H12" s="15" t="s">
        <v>144</v>
      </c>
      <c r="I12" s="15" t="n">
        <v>20</v>
      </c>
      <c r="J12" s="15" t="n">
        <v>40</v>
      </c>
      <c r="K12" s="15" t="n">
        <v>60</v>
      </c>
      <c r="L12" s="15" t="n">
        <v>80</v>
      </c>
      <c r="M12" s="16" t="s">
        <v>183</v>
      </c>
      <c r="N12" s="16" t="s">
        <v>184</v>
      </c>
      <c r="O12" s="16" t="s">
        <v>185</v>
      </c>
      <c r="P12" s="11" t="s">
        <v>92</v>
      </c>
      <c r="Q12" s="11" t="n">
        <v>2022</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186</v>
      </c>
      <c r="AC12" s="11" t="s">
        <v>187</v>
      </c>
    </row>
    <row r="13" customFormat="false" ht="46.25" hidden="false" customHeight="false" outlineLevel="0" collapsed="false">
      <c r="A13" s="15" t="s">
        <v>188</v>
      </c>
      <c r="B13" s="10" t="s">
        <v>189</v>
      </c>
      <c r="C13" s="15" t="s">
        <v>140</v>
      </c>
      <c r="D13" s="15" t="s">
        <v>141</v>
      </c>
      <c r="E13" s="15" t="s">
        <v>142</v>
      </c>
      <c r="F13" s="15"/>
      <c r="G13" s="15" t="s">
        <v>143</v>
      </c>
      <c r="H13" s="15" t="s">
        <v>154</v>
      </c>
      <c r="I13" s="15" t="n">
        <v>25</v>
      </c>
      <c r="J13" s="15" t="n">
        <v>15</v>
      </c>
      <c r="K13" s="15" t="n">
        <v>7.5</v>
      </c>
      <c r="L13" s="15" t="n">
        <v>2.5</v>
      </c>
      <c r="M13" s="16" t="n">
        <v>19.9</v>
      </c>
      <c r="N13" s="16" t="s">
        <v>190</v>
      </c>
      <c r="O13" s="16" t="s">
        <v>191</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2</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192</v>
      </c>
      <c r="B14" s="10" t="s">
        <v>193</v>
      </c>
      <c r="C14" s="15" t="s">
        <v>140</v>
      </c>
      <c r="D14" s="15" t="s">
        <v>141</v>
      </c>
      <c r="E14" s="15" t="s">
        <v>194</v>
      </c>
      <c r="F14" s="15"/>
      <c r="G14" s="15" t="s">
        <v>143</v>
      </c>
      <c r="H14" s="15" t="s">
        <v>144</v>
      </c>
      <c r="I14" s="15" t="n">
        <v>10</v>
      </c>
      <c r="J14" s="15" t="n">
        <v>25</v>
      </c>
      <c r="K14" s="15" t="n">
        <v>40</v>
      </c>
      <c r="L14" s="15" t="n">
        <v>50</v>
      </c>
      <c r="M14" s="16" t="s">
        <v>195</v>
      </c>
      <c r="N14" s="16" t="s">
        <v>196</v>
      </c>
      <c r="O14" s="16" t="s">
        <v>197</v>
      </c>
      <c r="P14" s="11" t="s">
        <v>88</v>
      </c>
      <c r="Q14" s="11" t="n">
        <v>2019</v>
      </c>
      <c r="R14" s="11"/>
      <c r="S14" s="15" t="str">
        <f aca="false">IF($M14="","",IF(ISNUMBER($M14),"Measured",IF(ISNUMBER(SEARCH("DATA GAP",UPPER($M14))),"Gap",IF(AND($N14&lt;&gt;"",$P14&lt;&gt;"T5"),"Documented","Judged"))))</f>
        <v>Documented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198</v>
      </c>
      <c r="AC14" s="11" t="s">
        <v>187</v>
      </c>
    </row>
    <row r="15" customFormat="false" ht="57.45" hidden="false" customHeight="false" outlineLevel="0" collapsed="false">
      <c r="A15" s="15" t="s">
        <v>199</v>
      </c>
      <c r="B15" s="10" t="s">
        <v>200</v>
      </c>
      <c r="C15" s="15" t="s">
        <v>201</v>
      </c>
      <c r="D15" s="15" t="s">
        <v>141</v>
      </c>
      <c r="E15" s="15" t="s">
        <v>202</v>
      </c>
      <c r="F15" s="15" t="s">
        <v>203</v>
      </c>
      <c r="G15" s="15" t="s">
        <v>143</v>
      </c>
      <c r="H15" s="15" t="s">
        <v>144</v>
      </c>
      <c r="I15" s="15" t="n">
        <v>20</v>
      </c>
      <c r="J15" s="15" t="n">
        <v>40</v>
      </c>
      <c r="K15" s="15" t="n">
        <v>60</v>
      </c>
      <c r="L15" s="15" t="n">
        <v>80</v>
      </c>
      <c r="M15" s="16" t="s">
        <v>204</v>
      </c>
      <c r="N15" s="16" t="s">
        <v>205</v>
      </c>
      <c r="O15" s="16" t="s">
        <v>206</v>
      </c>
      <c r="P15" s="11" t="s">
        <v>100</v>
      </c>
      <c r="Q15" s="11" t="n">
        <v>2024</v>
      </c>
      <c r="R15" s="11" t="n">
        <v>3</v>
      </c>
      <c r="S15" s="15" t="str">
        <f aca="false">IF($M15="","",IF(ISNUMBER($M15),"Measured",IF(ISNUMBER(SEARCH("DATA GAP",UPPER($M15))),"Gap",IF(AND($N15&lt;&gt;"",$P15&lt;&gt;"T5"),"Documented","Judged"))))</f>
        <v>Documented</v>
      </c>
      <c r="T15" s="15" t="n">
        <f aca="false">IF($AC15&lt;&gt;"","",IF(OR($S15="",$S15="Gap"),"",IF($S15="Measured",1+IF($H15="H",IF($M15&gt;=$I15,1,0)+IF($M15&gt;=$J15,1,0)+IF($M15&gt;=$K15,1,0)+IF($M15&gt;=$L15,1,0),IF($M15&lt;=$I15,1,0)+IF($M15&lt;=$J15,1,0)+IF($M15&lt;=$K15,1,0)+IF($M15&lt;=$L15,1,0)),IF($R15&lt;&gt;"",$R15,""))))</f>
        <v>3</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201</v>
      </c>
      <c r="D16" s="15" t="s">
        <v>141</v>
      </c>
      <c r="E16" s="15" t="s">
        <v>202</v>
      </c>
      <c r="F16" s="15"/>
      <c r="G16" s="15" t="s">
        <v>143</v>
      </c>
      <c r="H16" s="15" t="s">
        <v>144</v>
      </c>
      <c r="I16" s="15" t="n">
        <v>20</v>
      </c>
      <c r="J16" s="15" t="n">
        <v>40</v>
      </c>
      <c r="K16" s="15" t="n">
        <v>60</v>
      </c>
      <c r="L16" s="15" t="n">
        <v>80</v>
      </c>
      <c r="M16" s="16" t="n">
        <v>41.21139908</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3</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201</v>
      </c>
      <c r="D17" s="15" t="s">
        <v>141</v>
      </c>
      <c r="E17" s="15" t="s">
        <v>202</v>
      </c>
      <c r="F17" s="15"/>
      <c r="G17" s="15" t="s">
        <v>143</v>
      </c>
      <c r="H17" s="15" t="s">
        <v>154</v>
      </c>
      <c r="I17" s="15" t="n">
        <v>10</v>
      </c>
      <c r="J17" s="15" t="n">
        <v>5</v>
      </c>
      <c r="K17" s="15" t="n">
        <v>2</v>
      </c>
      <c r="L17" s="15" t="n">
        <v>1</v>
      </c>
      <c r="M17" s="16" t="n">
        <v>1.56</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4</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79.85" hidden="false" customHeight="false" outlineLevel="0" collapsed="false">
      <c r="A18" s="15" t="s">
        <v>217</v>
      </c>
      <c r="B18" s="10" t="s">
        <v>218</v>
      </c>
      <c r="C18" s="15" t="s">
        <v>201</v>
      </c>
      <c r="D18" s="15" t="s">
        <v>141</v>
      </c>
      <c r="E18" s="15" t="s">
        <v>202</v>
      </c>
      <c r="F18" s="15"/>
      <c r="G18" s="15" t="s">
        <v>143</v>
      </c>
      <c r="H18" s="15" t="s">
        <v>144</v>
      </c>
      <c r="I18" s="15" t="n">
        <v>20</v>
      </c>
      <c r="J18" s="15" t="n">
        <v>40</v>
      </c>
      <c r="K18" s="15" t="n">
        <v>60</v>
      </c>
      <c r="L18" s="15" t="n">
        <v>80</v>
      </c>
      <c r="M18" s="16" t="n">
        <v>28.9</v>
      </c>
      <c r="N18" s="16" t="s">
        <v>219</v>
      </c>
      <c r="O18" s="16" t="s">
        <v>220</v>
      </c>
      <c r="P18" s="11" t="s">
        <v>88</v>
      </c>
      <c r="Q18" s="11" t="n">
        <v>2024</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2</v>
      </c>
      <c r="U18" s="15" t="str">
        <f aca="false">IF(OR($S18="",$S18="Gap",$Q18=""),"",IF($Q18&lt;Config!$C$2-Config!$C$3,"STALE",""))</f>
        <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201</v>
      </c>
      <c r="D19" s="15" t="s">
        <v>141</v>
      </c>
      <c r="E19" s="15" t="s">
        <v>202</v>
      </c>
      <c r="F19" s="15" t="s">
        <v>203</v>
      </c>
      <c r="G19" s="15" t="s">
        <v>143</v>
      </c>
      <c r="H19" s="15" t="s">
        <v>144</v>
      </c>
      <c r="I19" s="15" t="n">
        <v>20</v>
      </c>
      <c r="J19" s="15" t="n">
        <v>40</v>
      </c>
      <c r="K19" s="15" t="n">
        <v>60</v>
      </c>
      <c r="L19" s="15" t="n">
        <v>80</v>
      </c>
      <c r="M19" s="16" t="n">
        <v>23.5</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2</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57.45" hidden="false" customHeight="false" outlineLevel="0" collapsed="false">
      <c r="A20" s="15" t="s">
        <v>226</v>
      </c>
      <c r="B20" s="10" t="s">
        <v>227</v>
      </c>
      <c r="C20" s="15" t="s">
        <v>201</v>
      </c>
      <c r="D20" s="15" t="s">
        <v>141</v>
      </c>
      <c r="E20" s="15" t="s">
        <v>202</v>
      </c>
      <c r="F20" s="15"/>
      <c r="G20" s="15" t="s">
        <v>154</v>
      </c>
      <c r="H20" s="15"/>
      <c r="M20" s="16" t="s">
        <v>228</v>
      </c>
      <c r="N20" s="16" t="s">
        <v>229</v>
      </c>
      <c r="O20" s="16" t="s">
        <v>230</v>
      </c>
      <c r="P20" s="11" t="s">
        <v>96</v>
      </c>
      <c r="Q20" s="11" t="n">
        <v>2026</v>
      </c>
      <c r="R20" s="11" t="n">
        <v>3</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3</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0.4815</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3</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57.4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2025</v>
      </c>
      <c r="R22" s="11" t="n">
        <v>2</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2</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2</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2</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57.4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88</v>
      </c>
      <c r="Q24" s="11" t="n">
        <v>2026</v>
      </c>
      <c r="R24" s="11"/>
      <c r="S24" s="15" t="str">
        <f aca="false">IF($M24="","",IF(ISNUMBER($M24),"Measured",IF(ISNUMBER(SEARCH("DATA GAP",UPPER($M24))),"Gap",IF(AND($N24&lt;&gt;"",$P24&lt;&gt;"T5"),"Documented","Judged"))))</f>
        <v>Documented</v>
      </c>
      <c r="T24" s="15" t="str">
        <f aca="false">IF($AC24&lt;&gt;"","",IF(OR($S24="",$S24="Gap"),"",IF($S24="Measured",1+IF($H24="H",IF($M24&gt;=$I24,1,0)+IF($M24&gt;=$J24,1,0)+IF($M24&gt;=$K24,1,0)+IF($M24&gt;=$L24,1,0),IF($M24&lt;=$I24,1,0)+IF($M24&lt;=$J24,1,0)+IF($M24&lt;=$K24,1,0)+IF($M24&lt;=$L24,1,0)),IF($R24&lt;&gt;"",$R24,""))))</f>
        <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c r="AC24" s="11" t="s">
        <v>187</v>
      </c>
    </row>
    <row r="25" customFormat="false" ht="57.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46.2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100</v>
      </c>
      <c r="Q26" s="11" t="n">
        <v>2026</v>
      </c>
      <c r="R26" s="11" t="n">
        <v>3</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3</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57.4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96</v>
      </c>
      <c r="Q27" s="11" t="n">
        <v>2026</v>
      </c>
      <c r="R27" s="11" t="n">
        <v>3</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3</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287</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288</v>
      </c>
    </row>
    <row r="29" customFormat="false" ht="57.45" hidden="false" customHeight="false" outlineLevel="0" collapsed="false">
      <c r="A29" s="15" t="s">
        <v>289</v>
      </c>
      <c r="B29" s="10" t="s">
        <v>290</v>
      </c>
      <c r="C29" s="15" t="s">
        <v>291</v>
      </c>
      <c r="D29" s="15" t="s">
        <v>235</v>
      </c>
      <c r="E29" s="15" t="s">
        <v>202</v>
      </c>
      <c r="F29" s="15" t="s">
        <v>203</v>
      </c>
      <c r="G29" s="15" t="s">
        <v>154</v>
      </c>
      <c r="H29" s="15"/>
      <c r="M29" s="16" t="s">
        <v>292</v>
      </c>
      <c r="N29" s="16" t="s">
        <v>293</v>
      </c>
      <c r="O29" s="16" t="s">
        <v>294</v>
      </c>
      <c r="P29" s="11" t="s">
        <v>96</v>
      </c>
      <c r="Q29" s="11" t="n">
        <v>2025</v>
      </c>
      <c r="R29" s="11" t="n">
        <v>4</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4</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35.05" hidden="false" customHeight="false" outlineLevel="0" collapsed="false">
      <c r="A30" s="15" t="s">
        <v>295</v>
      </c>
      <c r="B30" s="10" t="s">
        <v>296</v>
      </c>
      <c r="C30" s="15" t="s">
        <v>291</v>
      </c>
      <c r="D30" s="15" t="s">
        <v>235</v>
      </c>
      <c r="E30" s="15" t="s">
        <v>202</v>
      </c>
      <c r="F30" s="15"/>
      <c r="G30" s="15" t="s">
        <v>143</v>
      </c>
      <c r="H30" s="15" t="s">
        <v>144</v>
      </c>
      <c r="I30" s="15" t="n">
        <v>0.2</v>
      </c>
      <c r="J30" s="15" t="n">
        <v>0.4</v>
      </c>
      <c r="K30" s="15" t="n">
        <v>0.6</v>
      </c>
      <c r="L30" s="15" t="n">
        <v>0.8</v>
      </c>
      <c r="M30" s="16" t="n">
        <v>0.824</v>
      </c>
      <c r="N30" s="16" t="s">
        <v>297</v>
      </c>
      <c r="O30" s="16" t="s">
        <v>298</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299</v>
      </c>
    </row>
    <row r="31" customFormat="false" ht="46.25" hidden="false" customHeight="false" outlineLevel="0" collapsed="false">
      <c r="A31" s="15" t="s">
        <v>300</v>
      </c>
      <c r="B31" s="10" t="s">
        <v>301</v>
      </c>
      <c r="C31" s="15" t="s">
        <v>291</v>
      </c>
      <c r="D31" s="15" t="s">
        <v>235</v>
      </c>
      <c r="E31" s="15" t="s">
        <v>236</v>
      </c>
      <c r="F31" s="15"/>
      <c r="G31" s="15" t="s">
        <v>143</v>
      </c>
      <c r="H31" s="15" t="s">
        <v>144</v>
      </c>
      <c r="I31" s="15" t="n">
        <v>20</v>
      </c>
      <c r="J31" s="15" t="n">
        <v>40</v>
      </c>
      <c r="K31" s="15" t="n">
        <v>60</v>
      </c>
      <c r="L31" s="15" t="n">
        <v>80</v>
      </c>
      <c r="M31" s="16" t="n">
        <v>43.33</v>
      </c>
      <c r="N31" s="16" t="s">
        <v>302</v>
      </c>
      <c r="O31" s="16" t="s">
        <v>303</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304</v>
      </c>
    </row>
    <row r="32" customFormat="false" ht="57.45" hidden="false" customHeight="false" outlineLevel="0" collapsed="false">
      <c r="A32" s="15" t="s">
        <v>305</v>
      </c>
      <c r="B32" s="10" t="s">
        <v>306</v>
      </c>
      <c r="C32" s="15" t="s">
        <v>291</v>
      </c>
      <c r="D32" s="15" t="s">
        <v>235</v>
      </c>
      <c r="E32" s="15" t="s">
        <v>202</v>
      </c>
      <c r="F32" s="15"/>
      <c r="G32" s="15" t="s">
        <v>154</v>
      </c>
      <c r="H32" s="15"/>
      <c r="M32" s="16" t="s">
        <v>307</v>
      </c>
      <c r="N32" s="16" t="s">
        <v>308</v>
      </c>
      <c r="O32" s="16" t="s">
        <v>309</v>
      </c>
      <c r="P32" s="11" t="s">
        <v>96</v>
      </c>
      <c r="Q32" s="11" t="n">
        <v>2026</v>
      </c>
      <c r="R32" s="11" t="n">
        <v>2</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2</v>
      </c>
      <c r="U32" s="15" t="str">
        <f aca="false">IF(OR($S32="",$S32="Gap",$Q32=""),"",IF($Q32&lt;Config!$C$2-Config!$C$3,"STALE",""))</f>
        <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310</v>
      </c>
    </row>
    <row r="33" customFormat="false" ht="46.25" hidden="false" customHeight="false" outlineLevel="0" collapsed="false">
      <c r="A33" s="15" t="s">
        <v>311</v>
      </c>
      <c r="B33" s="10" t="s">
        <v>312</v>
      </c>
      <c r="C33" s="15" t="s">
        <v>291</v>
      </c>
      <c r="D33" s="15" t="s">
        <v>235</v>
      </c>
      <c r="E33" s="15" t="s">
        <v>313</v>
      </c>
      <c r="F33" s="15" t="s">
        <v>284</v>
      </c>
      <c r="G33" s="15" t="s">
        <v>154</v>
      </c>
      <c r="H33" s="15"/>
      <c r="M33" s="16" t="s">
        <v>314</v>
      </c>
      <c r="N33" s="16" t="s">
        <v>315</v>
      </c>
      <c r="O33" s="16" t="s">
        <v>316</v>
      </c>
      <c r="P33" s="11" t="s">
        <v>96</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57.45" hidden="false" customHeight="false" outlineLevel="0" collapsed="false">
      <c r="A34" s="15" t="s">
        <v>317</v>
      </c>
      <c r="B34" s="10" t="s">
        <v>318</v>
      </c>
      <c r="C34" s="15" t="s">
        <v>291</v>
      </c>
      <c r="D34" s="15" t="s">
        <v>235</v>
      </c>
      <c r="E34" s="15" t="s">
        <v>236</v>
      </c>
      <c r="F34" s="15"/>
      <c r="G34" s="15" t="s">
        <v>154</v>
      </c>
      <c r="H34" s="15"/>
      <c r="M34" s="16" t="s">
        <v>319</v>
      </c>
      <c r="N34" s="16" t="s">
        <v>320</v>
      </c>
      <c r="O34" s="16" t="s">
        <v>321</v>
      </c>
      <c r="P34" s="11" t="s">
        <v>96</v>
      </c>
      <c r="Q34" s="11" t="n">
        <v>2025</v>
      </c>
      <c r="R34" s="11" t="n">
        <v>3</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3</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322</v>
      </c>
    </row>
    <row r="35" customFormat="false" ht="46.25" hidden="false" customHeight="false" outlineLevel="0" collapsed="false">
      <c r="A35" s="15" t="s">
        <v>323</v>
      </c>
      <c r="B35" s="10" t="s">
        <v>324</v>
      </c>
      <c r="C35" s="15" t="s">
        <v>291</v>
      </c>
      <c r="D35" s="15" t="s">
        <v>235</v>
      </c>
      <c r="E35" s="15" t="s">
        <v>325</v>
      </c>
      <c r="F35" s="15" t="s">
        <v>326</v>
      </c>
      <c r="G35" s="15" t="s">
        <v>143</v>
      </c>
      <c r="H35" s="15" t="s">
        <v>144</v>
      </c>
      <c r="I35" s="15" t="n">
        <v>20</v>
      </c>
      <c r="J35" s="15" t="n">
        <v>40</v>
      </c>
      <c r="K35" s="15" t="n">
        <v>60</v>
      </c>
      <c r="L35" s="15" t="n">
        <v>80</v>
      </c>
      <c r="M35" s="16" t="n">
        <v>79.0803710088225</v>
      </c>
      <c r="N35" s="16" t="s">
        <v>327</v>
      </c>
      <c r="O35" s="16" t="s">
        <v>328</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4</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329</v>
      </c>
    </row>
    <row r="36" customFormat="false" ht="57.45" hidden="false" customHeight="false" outlineLevel="0" collapsed="false">
      <c r="A36" s="15" t="s">
        <v>330</v>
      </c>
      <c r="B36" s="10" t="s">
        <v>331</v>
      </c>
      <c r="C36" s="15" t="s">
        <v>291</v>
      </c>
      <c r="D36" s="15" t="s">
        <v>235</v>
      </c>
      <c r="E36" s="15" t="s">
        <v>202</v>
      </c>
      <c r="F36" s="15" t="s">
        <v>332</v>
      </c>
      <c r="G36" s="15" t="s">
        <v>154</v>
      </c>
      <c r="H36" s="15"/>
      <c r="M36" s="16" t="s">
        <v>333</v>
      </c>
      <c r="N36" s="16" t="s">
        <v>334</v>
      </c>
      <c r="O36" s="16" t="s">
        <v>335</v>
      </c>
      <c r="P36" s="11" t="s">
        <v>96</v>
      </c>
      <c r="Q36" s="11" t="n">
        <v>2026</v>
      </c>
      <c r="R36" s="11" t="n">
        <v>1</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1</v>
      </c>
      <c r="U36" s="15" t="str">
        <f aca="false">IF(OR($S36="",$S36="Gap",$Q36=""),"",IF($Q36&lt;Config!$C$2-Config!$C$3,"STALE",""))</f>
        <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336</v>
      </c>
    </row>
    <row r="37" customFormat="false" ht="46.25" hidden="false" customHeight="false" outlineLevel="0" collapsed="false">
      <c r="A37" s="15" t="s">
        <v>337</v>
      </c>
      <c r="B37" s="10" t="s">
        <v>338</v>
      </c>
      <c r="C37" s="15" t="s">
        <v>339</v>
      </c>
      <c r="D37" s="15" t="s">
        <v>235</v>
      </c>
      <c r="E37" s="15" t="s">
        <v>202</v>
      </c>
      <c r="F37" s="15"/>
      <c r="G37" s="15" t="s">
        <v>143</v>
      </c>
      <c r="H37" s="15" t="s">
        <v>144</v>
      </c>
      <c r="I37" s="15" t="n">
        <v>50</v>
      </c>
      <c r="J37" s="15" t="n">
        <v>65</v>
      </c>
      <c r="K37" s="15" t="n">
        <v>80</v>
      </c>
      <c r="L37" s="15" t="n">
        <v>90</v>
      </c>
      <c r="M37" s="16" t="n">
        <v>70.4100036621094</v>
      </c>
      <c r="N37" s="16" t="s">
        <v>340</v>
      </c>
      <c r="O37" s="16" t="s">
        <v>341</v>
      </c>
      <c r="P37" s="11" t="s">
        <v>88</v>
      </c>
      <c r="Q37" s="11" t="n">
        <v>2024</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342</v>
      </c>
      <c r="B38" s="10" t="s">
        <v>343</v>
      </c>
      <c r="C38" s="15" t="s">
        <v>339</v>
      </c>
      <c r="D38" s="15" t="s">
        <v>235</v>
      </c>
      <c r="E38" s="15" t="s">
        <v>202</v>
      </c>
      <c r="F38" s="15"/>
      <c r="G38" s="15" t="s">
        <v>143</v>
      </c>
      <c r="H38" s="15" t="s">
        <v>144</v>
      </c>
      <c r="I38" s="15" t="n">
        <v>10</v>
      </c>
      <c r="J38" s="15" t="n">
        <v>20</v>
      </c>
      <c r="K38" s="15" t="n">
        <v>30</v>
      </c>
      <c r="L38" s="15" t="n">
        <v>40</v>
      </c>
      <c r="M38" s="16" t="n">
        <v>9.74153350922586</v>
      </c>
      <c r="N38" s="16" t="s">
        <v>344</v>
      </c>
      <c r="O38" s="16" t="s">
        <v>345</v>
      </c>
      <c r="P38" s="11" t="s">
        <v>88</v>
      </c>
      <c r="Q38" s="11" t="n">
        <v>2011</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STALE</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346</v>
      </c>
      <c r="AC38" s="11" t="s">
        <v>187</v>
      </c>
    </row>
    <row r="39" customFormat="false" ht="46.25" hidden="false" customHeight="false" outlineLevel="0" collapsed="false">
      <c r="A39" s="15" t="s">
        <v>347</v>
      </c>
      <c r="B39" s="10" t="s">
        <v>348</v>
      </c>
      <c r="C39" s="15" t="s">
        <v>339</v>
      </c>
      <c r="D39" s="15" t="s">
        <v>235</v>
      </c>
      <c r="E39" s="15" t="s">
        <v>202</v>
      </c>
      <c r="F39" s="15"/>
      <c r="G39" s="15" t="s">
        <v>143</v>
      </c>
      <c r="H39" s="15" t="s">
        <v>144</v>
      </c>
      <c r="I39" s="15" t="n">
        <v>10</v>
      </c>
      <c r="J39" s="15" t="n">
        <v>25</v>
      </c>
      <c r="K39" s="15" t="n">
        <v>50</v>
      </c>
      <c r="L39" s="15" t="n">
        <v>75</v>
      </c>
      <c r="M39" s="16" t="s">
        <v>349</v>
      </c>
      <c r="N39" s="16" t="s">
        <v>350</v>
      </c>
      <c r="O39" s="16" t="s">
        <v>351</v>
      </c>
      <c r="P39" s="11" t="s">
        <v>92</v>
      </c>
      <c r="Q39" s="11" t="n">
        <v>2021</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STALE</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352</v>
      </c>
      <c r="AC39" s="11" t="s">
        <v>187</v>
      </c>
    </row>
    <row r="40" customFormat="false" ht="68.65" hidden="false" customHeight="false" outlineLevel="0" collapsed="false">
      <c r="A40" s="15" t="s">
        <v>353</v>
      </c>
      <c r="B40" s="10" t="s">
        <v>354</v>
      </c>
      <c r="C40" s="15" t="s">
        <v>339</v>
      </c>
      <c r="D40" s="15" t="s">
        <v>235</v>
      </c>
      <c r="E40" s="15" t="s">
        <v>355</v>
      </c>
      <c r="F40" s="15" t="s">
        <v>356</v>
      </c>
      <c r="G40" s="15" t="s">
        <v>154</v>
      </c>
      <c r="H40" s="15"/>
      <c r="M40" s="16" t="s">
        <v>357</v>
      </c>
      <c r="N40" s="16" t="s">
        <v>358</v>
      </c>
      <c r="O40" s="16" t="s">
        <v>359</v>
      </c>
      <c r="P40" s="11" t="s">
        <v>96</v>
      </c>
      <c r="Q40" s="11" t="n">
        <v>2026</v>
      </c>
      <c r="R40" s="11" t="n">
        <v>3</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3</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57.45" hidden="false" customHeight="false" outlineLevel="0" collapsed="false">
      <c r="A41" s="15" t="s">
        <v>360</v>
      </c>
      <c r="B41" s="10" t="s">
        <v>361</v>
      </c>
      <c r="C41" s="15" t="s">
        <v>339</v>
      </c>
      <c r="D41" s="15" t="s">
        <v>235</v>
      </c>
      <c r="E41" s="15" t="s">
        <v>202</v>
      </c>
      <c r="F41" s="15" t="s">
        <v>332</v>
      </c>
      <c r="G41" s="15" t="s">
        <v>154</v>
      </c>
      <c r="H41" s="15"/>
      <c r="M41" s="16" t="s">
        <v>362</v>
      </c>
      <c r="N41" s="16" t="s">
        <v>363</v>
      </c>
      <c r="O41" s="16" t="s">
        <v>364</v>
      </c>
      <c r="P41" s="11" t="s">
        <v>96</v>
      </c>
      <c r="Q41" s="11" t="n">
        <v>2026</v>
      </c>
      <c r="R41" s="11" t="n">
        <v>1</v>
      </c>
      <c r="S41" s="15" t="str">
        <f aca="false">IF($M41="","",IF(ISNUMBER($M41),"Measured",IF(ISNUMBER(SEARCH("DATA GAP",UPPER($M41))),"Gap",IF(AND($N41&lt;&gt;"",$P41&lt;&gt;"T5"),"Documented","Judged"))))</f>
        <v>Documented</v>
      </c>
      <c r="T41" s="15" t="n">
        <f aca="false">IF($AC41&lt;&gt;"","",IF(OR($S41="",$S41="Gap"),"",IF($S41="Measured",1+IF($H41="H",IF($M41&gt;=$I41,1,0)+IF($M41&gt;=$J41,1,0)+IF($M41&gt;=$K41,1,0)+IF($M41&gt;=$L41,1,0),IF($M41&lt;=$I41,1,0)+IF($M41&lt;=$J41,1,0)+IF($M41&lt;=$K41,1,0)+IF($M41&lt;=$L41,1,0)),IF($R41&lt;&gt;"",$R41,""))))</f>
        <v>1</v>
      </c>
      <c r="U41" s="15" t="str">
        <f aca="false">IF(OR($S41="",$S41="Gap",$Q41=""),"",IF($Q41&lt;Config!$C$2-Config!$C$3,"STALE",""))</f>
        <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365</v>
      </c>
    </row>
    <row r="42" customFormat="false" ht="57.45" hidden="false" customHeight="false" outlineLevel="0" collapsed="false">
      <c r="A42" s="15" t="s">
        <v>366</v>
      </c>
      <c r="B42" s="10" t="s">
        <v>367</v>
      </c>
      <c r="C42" s="15" t="s">
        <v>339</v>
      </c>
      <c r="D42" s="15" t="s">
        <v>235</v>
      </c>
      <c r="E42" s="15" t="s">
        <v>202</v>
      </c>
      <c r="F42" s="15"/>
      <c r="G42" s="15" t="s">
        <v>154</v>
      </c>
      <c r="H42" s="15"/>
      <c r="M42" s="16" t="s">
        <v>368</v>
      </c>
      <c r="N42" s="16" t="s">
        <v>369</v>
      </c>
      <c r="O42" s="16" t="s">
        <v>370</v>
      </c>
      <c r="P42" s="11" t="s">
        <v>96</v>
      </c>
      <c r="Q42" s="11" t="n">
        <v>2026</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371</v>
      </c>
    </row>
    <row r="43" customFormat="false" ht="102.2" hidden="false" customHeight="false" outlineLevel="0" collapsed="false">
      <c r="A43" s="15" t="s">
        <v>372</v>
      </c>
      <c r="B43" s="10" t="s">
        <v>373</v>
      </c>
      <c r="C43" s="15" t="s">
        <v>339</v>
      </c>
      <c r="D43" s="15" t="s">
        <v>235</v>
      </c>
      <c r="E43" s="15" t="s">
        <v>374</v>
      </c>
      <c r="F43" s="15"/>
      <c r="G43" s="15" t="s">
        <v>143</v>
      </c>
      <c r="H43" s="15" t="s">
        <v>144</v>
      </c>
      <c r="I43" s="15" t="n">
        <v>20</v>
      </c>
      <c r="J43" s="15" t="n">
        <v>35</v>
      </c>
      <c r="K43" s="15" t="n">
        <v>45</v>
      </c>
      <c r="L43" s="15" t="n">
        <v>50</v>
      </c>
      <c r="M43" s="16" t="s">
        <v>375</v>
      </c>
      <c r="N43" s="16" t="s">
        <v>376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377</v>
      </c>
    </row>
    <row r="44" customFormat="false" ht="46.25" hidden="false" customHeight="false" outlineLevel="0" collapsed="false">
      <c r="A44" s="15" t="s">
        <v>378</v>
      </c>
      <c r="B44" s="10" t="s">
        <v>379</v>
      </c>
      <c r="C44" s="15" t="s">
        <v>380</v>
      </c>
      <c r="D44" s="15" t="s">
        <v>235</v>
      </c>
      <c r="E44" s="15" t="s">
        <v>202</v>
      </c>
      <c r="F44" s="15"/>
      <c r="G44" s="15" t="s">
        <v>143</v>
      </c>
      <c r="H44" s="15" t="s">
        <v>144</v>
      </c>
      <c r="I44" s="15" t="n">
        <v>25</v>
      </c>
      <c r="J44" s="15" t="n">
        <v>35</v>
      </c>
      <c r="K44" s="15" t="n">
        <v>45</v>
      </c>
      <c r="L44" s="15" t="n">
        <v>55</v>
      </c>
      <c r="M44" s="16" t="n">
        <v>21.1</v>
      </c>
      <c r="N44" s="16" t="s">
        <v>381</v>
      </c>
      <c r="O44" s="16" t="s">
        <v>382</v>
      </c>
      <c r="P44" s="11" t="s">
        <v>88</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91" hidden="false" customHeight="false" outlineLevel="0" collapsed="false">
      <c r="A45" s="15" t="s">
        <v>383</v>
      </c>
      <c r="B45" s="10" t="s">
        <v>384</v>
      </c>
      <c r="C45" s="15" t="s">
        <v>380</v>
      </c>
      <c r="D45" s="15" t="s">
        <v>235</v>
      </c>
      <c r="E45" s="15" t="s">
        <v>202</v>
      </c>
      <c r="F45" s="15"/>
      <c r="G45" s="15" t="s">
        <v>143</v>
      </c>
      <c r="H45" s="15" t="s">
        <v>144</v>
      </c>
      <c r="I45" s="15" t="n">
        <v>30</v>
      </c>
      <c r="J45" s="15" t="n">
        <v>45</v>
      </c>
      <c r="K45" s="15" t="n">
        <v>60</v>
      </c>
      <c r="L45" s="15" t="n">
        <v>75</v>
      </c>
      <c r="M45" s="16" t="s">
        <v>385</v>
      </c>
      <c r="N45" s="16" t="s">
        <v>376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386</v>
      </c>
      <c r="B46" s="10" t="s">
        <v>387</v>
      </c>
      <c r="C46" s="15" t="s">
        <v>380</v>
      </c>
      <c r="D46" s="15" t="s">
        <v>388</v>
      </c>
      <c r="E46" s="15" t="s">
        <v>202</v>
      </c>
      <c r="F46" s="15"/>
      <c r="G46" s="15" t="s">
        <v>154</v>
      </c>
      <c r="H46" s="15"/>
      <c r="M46" s="16" t="s">
        <v>389</v>
      </c>
      <c r="N46" s="16" t="s">
        <v>390</v>
      </c>
      <c r="O46" s="16" t="s">
        <v>391</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392</v>
      </c>
    </row>
    <row r="47" customFormat="false" ht="57.45" hidden="false" customHeight="false" outlineLevel="0" collapsed="false">
      <c r="A47" s="15" t="s">
        <v>393</v>
      </c>
      <c r="B47" s="10" t="s">
        <v>394</v>
      </c>
      <c r="C47" s="15" t="s">
        <v>380</v>
      </c>
      <c r="D47" s="15" t="s">
        <v>388</v>
      </c>
      <c r="E47" s="15" t="s">
        <v>395</v>
      </c>
      <c r="F47" s="15"/>
      <c r="G47" s="15" t="s">
        <v>154</v>
      </c>
      <c r="H47" s="15"/>
      <c r="M47" s="16" t="s">
        <v>396</v>
      </c>
      <c r="N47" s="16" t="s">
        <v>397</v>
      </c>
      <c r="O47" s="16" t="s">
        <v>398</v>
      </c>
      <c r="P47" s="11" t="s">
        <v>96</v>
      </c>
      <c r="Q47" s="11" t="n">
        <v>2026</v>
      </c>
      <c r="R47" s="11" t="n">
        <v>3</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3</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399</v>
      </c>
    </row>
    <row r="48" customFormat="false" ht="57.45" hidden="false" customHeight="false" outlineLevel="0" collapsed="false">
      <c r="A48" s="15" t="s">
        <v>400</v>
      </c>
      <c r="B48" s="10" t="s">
        <v>401</v>
      </c>
      <c r="C48" s="15" t="s">
        <v>380</v>
      </c>
      <c r="D48" s="15" t="s">
        <v>388</v>
      </c>
      <c r="E48" s="15" t="s">
        <v>202</v>
      </c>
      <c r="F48" s="15"/>
      <c r="G48" s="15" t="s">
        <v>154</v>
      </c>
      <c r="H48" s="15"/>
      <c r="M48" s="16" t="s">
        <v>402</v>
      </c>
      <c r="N48" s="16" t="s">
        <v>403</v>
      </c>
      <c r="O48" s="16" t="s">
        <v>404</v>
      </c>
      <c r="P48" s="11" t="s">
        <v>100</v>
      </c>
      <c r="Q48" s="11" t="n">
        <v>2024</v>
      </c>
      <c r="R48" s="11" t="n">
        <v>1</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1</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405</v>
      </c>
    </row>
    <row r="49" customFormat="false" ht="79.85" hidden="false" customHeight="false" outlineLevel="0" collapsed="false">
      <c r="A49" s="15" t="s">
        <v>406</v>
      </c>
      <c r="B49" s="10" t="s">
        <v>407</v>
      </c>
      <c r="C49" s="15" t="s">
        <v>380</v>
      </c>
      <c r="D49" s="15" t="s">
        <v>388</v>
      </c>
      <c r="E49" s="15" t="s">
        <v>408</v>
      </c>
      <c r="F49" s="15"/>
      <c r="G49" s="15" t="s">
        <v>143</v>
      </c>
      <c r="H49" s="15" t="s">
        <v>144</v>
      </c>
      <c r="I49" s="15" t="n">
        <v>10</v>
      </c>
      <c r="J49" s="15" t="n">
        <v>25</v>
      </c>
      <c r="K49" s="15" t="n">
        <v>50</v>
      </c>
      <c r="L49" s="15" t="n">
        <v>75</v>
      </c>
      <c r="M49" s="16" t="s">
        <v>409</v>
      </c>
      <c r="N49" s="16" t="s">
        <v>410</v>
      </c>
      <c r="O49" s="16" t="s">
        <v>411</v>
      </c>
      <c r="P49" s="11" t="s">
        <v>100</v>
      </c>
      <c r="Q49" s="11" t="n">
        <v>2024</v>
      </c>
      <c r="R49" s="11"/>
      <c r="S49" s="15" t="str">
        <f aca="false">IF($M49="","",IF(ISNUMBER($M49),"Measured",IF(ISNUMBER(SEARCH("DATA GAP",UPPER($M49))),"Gap",IF(AND($N49&lt;&gt;"",$P49&lt;&gt;"T5"),"Documented","Judged"))))</f>
        <v>Documented</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412</v>
      </c>
      <c r="AC49" s="11" t="s">
        <v>187</v>
      </c>
    </row>
    <row r="50" customFormat="false" ht="57.45" hidden="false" customHeight="false" outlineLevel="0" collapsed="false">
      <c r="A50" s="15" t="s">
        <v>413</v>
      </c>
      <c r="B50" s="10" t="s">
        <v>414</v>
      </c>
      <c r="C50" s="15" t="s">
        <v>380</v>
      </c>
      <c r="D50" s="15" t="s">
        <v>388</v>
      </c>
      <c r="E50" s="15" t="s">
        <v>415</v>
      </c>
      <c r="F50" s="15" t="s">
        <v>326</v>
      </c>
      <c r="G50" s="15" t="s">
        <v>154</v>
      </c>
      <c r="H50" s="15"/>
      <c r="M50" s="16" t="s">
        <v>416</v>
      </c>
      <c r="N50" s="16" t="s">
        <v>417</v>
      </c>
      <c r="O50" s="16" t="s">
        <v>418</v>
      </c>
      <c r="P50" s="11" t="s">
        <v>100</v>
      </c>
      <c r="Q50" s="11" t="n">
        <v>2024</v>
      </c>
      <c r="R50" s="11" t="n">
        <v>3</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3</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419</v>
      </c>
    </row>
    <row r="51" customFormat="false" ht="57.45" hidden="false" customHeight="false" outlineLevel="0" collapsed="false">
      <c r="A51" s="15" t="s">
        <v>420</v>
      </c>
      <c r="B51" s="10" t="s">
        <v>421</v>
      </c>
      <c r="C51" s="15" t="s">
        <v>380</v>
      </c>
      <c r="D51" s="15" t="s">
        <v>388</v>
      </c>
      <c r="E51" s="15" t="s">
        <v>355</v>
      </c>
      <c r="F51" s="15"/>
      <c r="G51" s="15" t="s">
        <v>154</v>
      </c>
      <c r="H51" s="15"/>
      <c r="M51" s="16" t="s">
        <v>422</v>
      </c>
      <c r="N51" s="16" t="s">
        <v>423</v>
      </c>
      <c r="O51" s="16" t="s">
        <v>418</v>
      </c>
      <c r="P51" s="11" t="s">
        <v>100</v>
      </c>
      <c r="Q51" s="11" t="n">
        <v>2024</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424</v>
      </c>
    </row>
    <row r="52" customFormat="false" ht="57.45" hidden="false" customHeight="false" outlineLevel="0" collapsed="false">
      <c r="A52" s="15" t="s">
        <v>425</v>
      </c>
      <c r="B52" s="10" t="s">
        <v>426</v>
      </c>
      <c r="C52" s="15" t="s">
        <v>380</v>
      </c>
      <c r="D52" s="15" t="s">
        <v>388</v>
      </c>
      <c r="E52" s="15" t="s">
        <v>427</v>
      </c>
      <c r="F52" s="15"/>
      <c r="G52" s="15" t="s">
        <v>154</v>
      </c>
      <c r="H52" s="15"/>
      <c r="M52" s="16" t="s">
        <v>428</v>
      </c>
      <c r="N52" s="16" t="s">
        <v>429</v>
      </c>
      <c r="O52" s="16" t="s">
        <v>430</v>
      </c>
      <c r="P52" s="11" t="s">
        <v>100</v>
      </c>
      <c r="Q52" s="11" t="n">
        <v>2022</v>
      </c>
      <c r="R52" s="11" t="n">
        <v>3</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3</v>
      </c>
      <c r="U52" s="15" t="str">
        <f aca="false">IF(OR($S52="",$S52="Gap",$Q52=""),"",IF($Q52&lt;Config!$C$2-Config!$C$3,"STALE",""))</f>
        <v>STALE</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431</v>
      </c>
    </row>
    <row r="53" customFormat="false" ht="46.25" hidden="false" customHeight="false" outlineLevel="0" collapsed="false">
      <c r="A53" s="15" t="s">
        <v>432</v>
      </c>
      <c r="B53" s="10" t="s">
        <v>433</v>
      </c>
      <c r="C53" s="15" t="s">
        <v>380</v>
      </c>
      <c r="D53" s="15" t="s">
        <v>388</v>
      </c>
      <c r="E53" s="15" t="s">
        <v>434</v>
      </c>
      <c r="F53" s="15"/>
      <c r="G53" s="15" t="s">
        <v>154</v>
      </c>
      <c r="H53" s="15"/>
      <c r="M53" s="16" t="s">
        <v>435</v>
      </c>
      <c r="N53" s="16" t="s">
        <v>436</v>
      </c>
      <c r="O53" s="16" t="s">
        <v>437</v>
      </c>
      <c r="P53" s="11" t="s">
        <v>104</v>
      </c>
      <c r="Q53" s="11" t="n">
        <v>2026</v>
      </c>
      <c r="R53" s="11" t="n">
        <v>2</v>
      </c>
      <c r="S53" s="15" t="str">
        <f aca="false">IF($M53="","",IF(ISNUMBER($M53),"Measured",IF(ISNUMBER(SEARCH("DATA GAP",UPPER($M53))),"Gap",IF(AND($N53&lt;&gt;"",$P53&lt;&gt;"T5"),"Documented","Judged"))))</f>
        <v>Judged</v>
      </c>
      <c r="T53" s="15" t="n">
        <f aca="false">IF($AC53&lt;&gt;"","",IF(OR($S53="",$S53="Gap"),"",IF($S53="Measured",1+IF($H53="H",IF($M53&gt;=$I53,1,0)+IF($M53&gt;=$J53,1,0)+IF($M53&gt;=$K53,1,0)+IF($M53&gt;=$L53,1,0),IF($M53&lt;=$I53,1,0)+IF($M53&lt;=$J53,1,0)+IF($M53&lt;=$K53,1,0)+IF($M53&lt;=$L53,1,0)),IF($R53&lt;&gt;"",$R53,""))))</f>
        <v>2</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438</v>
      </c>
    </row>
    <row r="54" customFormat="false" ht="57.45" hidden="false" customHeight="false" outlineLevel="0" collapsed="false">
      <c r="A54" s="15" t="s">
        <v>439</v>
      </c>
      <c r="B54" s="10" t="s">
        <v>440</v>
      </c>
      <c r="C54" s="15" t="s">
        <v>380</v>
      </c>
      <c r="D54" s="15" t="s">
        <v>235</v>
      </c>
      <c r="E54" s="15" t="s">
        <v>441</v>
      </c>
      <c r="F54" s="15" t="s">
        <v>442</v>
      </c>
      <c r="G54" s="15" t="s">
        <v>154</v>
      </c>
      <c r="H54" s="15"/>
      <c r="M54" s="16" t="s">
        <v>443</v>
      </c>
      <c r="N54" s="16" t="s">
        <v>444</v>
      </c>
      <c r="O54" s="16" t="s">
        <v>445</v>
      </c>
      <c r="P54" s="11" t="s">
        <v>96</v>
      </c>
      <c r="Q54" s="11" t="n">
        <v>2025</v>
      </c>
      <c r="R54" s="11" t="n">
        <v>3</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3</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446</v>
      </c>
    </row>
    <row r="55" customFormat="false" ht="46.25" hidden="false" customHeight="false" outlineLevel="0" collapsed="false">
      <c r="A55" s="15" t="s">
        <v>447</v>
      </c>
      <c r="B55" s="10" t="s">
        <v>448</v>
      </c>
      <c r="C55" s="15" t="s">
        <v>449</v>
      </c>
      <c r="D55" s="15" t="s">
        <v>450</v>
      </c>
      <c r="E55" s="15" t="s">
        <v>451</v>
      </c>
      <c r="F55" s="15"/>
      <c r="G55" s="15" t="s">
        <v>143</v>
      </c>
      <c r="H55" s="15" t="s">
        <v>144</v>
      </c>
      <c r="I55" s="15" t="n">
        <v>20</v>
      </c>
      <c r="J55" s="15" t="n">
        <v>40</v>
      </c>
      <c r="K55" s="15" t="n">
        <v>60</v>
      </c>
      <c r="L55" s="15" t="n">
        <v>80</v>
      </c>
      <c r="M55" s="16" t="n">
        <v>52.2155914465012</v>
      </c>
      <c r="N55" s="16" t="s">
        <v>452</v>
      </c>
      <c r="O55" s="16" t="s">
        <v>453</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454</v>
      </c>
    </row>
    <row r="56" customFormat="false" ht="46.25" hidden="false" customHeight="false" outlineLevel="0" collapsed="false">
      <c r="A56" s="15" t="s">
        <v>455</v>
      </c>
      <c r="B56" s="10" t="s">
        <v>456</v>
      </c>
      <c r="C56" s="15" t="s">
        <v>449</v>
      </c>
      <c r="D56" s="15" t="s">
        <v>450</v>
      </c>
      <c r="E56" s="15" t="s">
        <v>415</v>
      </c>
      <c r="F56" s="15"/>
      <c r="G56" s="15" t="s">
        <v>143</v>
      </c>
      <c r="H56" s="15" t="s">
        <v>144</v>
      </c>
      <c r="I56" s="15" t="n">
        <v>10</v>
      </c>
      <c r="J56" s="15" t="n">
        <v>25</v>
      </c>
      <c r="K56" s="15" t="n">
        <v>50</v>
      </c>
      <c r="L56" s="15" t="n">
        <v>75</v>
      </c>
      <c r="M56" s="16" t="n">
        <v>32.8</v>
      </c>
      <c r="N56" s="16" t="s">
        <v>457</v>
      </c>
      <c r="O56" s="16" t="s">
        <v>458</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3</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57.45" hidden="false" customHeight="false" outlineLevel="0" collapsed="false">
      <c r="A57" s="15" t="s">
        <v>459</v>
      </c>
      <c r="B57" s="10" t="s">
        <v>460</v>
      </c>
      <c r="C57" s="15" t="s">
        <v>449</v>
      </c>
      <c r="D57" s="15" t="s">
        <v>450</v>
      </c>
      <c r="E57" s="15" t="s">
        <v>461</v>
      </c>
      <c r="F57" s="15"/>
      <c r="G57" s="15" t="s">
        <v>143</v>
      </c>
      <c r="H57" s="15" t="s">
        <v>154</v>
      </c>
      <c r="I57" s="15" t="n">
        <v>20</v>
      </c>
      <c r="J57" s="15" t="n">
        <v>10</v>
      </c>
      <c r="K57" s="15" t="n">
        <v>5</v>
      </c>
      <c r="L57" s="15" t="n">
        <v>2</v>
      </c>
      <c r="M57" s="16" t="n">
        <v>4.1</v>
      </c>
      <c r="N57" s="16" t="s">
        <v>462</v>
      </c>
      <c r="O57" s="16" t="s">
        <v>463</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4</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464</v>
      </c>
    </row>
    <row r="58" customFormat="false" ht="57.45" hidden="false" customHeight="false" outlineLevel="0" collapsed="false">
      <c r="A58" s="15" t="s">
        <v>465</v>
      </c>
      <c r="B58" s="10" t="s">
        <v>466</v>
      </c>
      <c r="C58" s="15" t="s">
        <v>449</v>
      </c>
      <c r="D58" s="15" t="s">
        <v>450</v>
      </c>
      <c r="E58" s="15" t="s">
        <v>467</v>
      </c>
      <c r="F58" s="15"/>
      <c r="G58" s="15" t="s">
        <v>143</v>
      </c>
      <c r="H58" s="15" t="s">
        <v>144</v>
      </c>
      <c r="I58" s="15" t="n">
        <v>10</v>
      </c>
      <c r="J58" s="15" t="n">
        <v>25</v>
      </c>
      <c r="K58" s="15" t="n">
        <v>50</v>
      </c>
      <c r="L58" s="15" t="n">
        <v>75</v>
      </c>
      <c r="M58" s="16" t="s">
        <v>468</v>
      </c>
      <c r="N58" s="16" t="s">
        <v>469</v>
      </c>
      <c r="O58" s="16" t="s">
        <v>470</v>
      </c>
      <c r="P58" s="11" t="s">
        <v>100</v>
      </c>
      <c r="Q58" s="11" t="n">
        <v>2019</v>
      </c>
      <c r="R58" s="11"/>
      <c r="S58" s="15" t="str">
        <f aca="false">IF($M58="","",IF(ISNUMBER($M58),"Measured",IF(ISNUMBER(SEARCH("DATA GAP",UPPER($M58))),"Gap",IF(AND($N58&lt;&gt;"",$P58&lt;&gt;"T5"),"Documented","Judged"))))</f>
        <v>Documented</v>
      </c>
      <c r="T58" s="15" t="str">
        <f aca="false">IF($AC58&lt;&gt;"","",IF(OR($S58="",$S58="Gap"),"",IF($S58="Measured",1+IF($H58="H",IF($M58&gt;=$I58,1,0)+IF($M58&gt;=$J58,1,0)+IF($M58&gt;=$K58,1,0)+IF($M58&gt;=$L58,1,0),IF($M58&lt;=$I58,1,0)+IF($M58&lt;=$J58,1,0)+IF($M58&lt;=$K58,1,0)+IF($M58&lt;=$L58,1,0)),IF($R58&lt;&gt;"",$R58,""))))</f>
        <v/>
      </c>
      <c r="U58" s="15" t="str">
        <f aca="false">IF(OR($S58="",$S58="Gap",$Q58=""),"",IF($Q58&lt;Config!$C$2-Config!$C$3,"STALE",""))</f>
        <v>STALE</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471</v>
      </c>
      <c r="AC58" s="11" t="s">
        <v>187</v>
      </c>
    </row>
    <row r="59" customFormat="false" ht="113.4" hidden="false" customHeight="false" outlineLevel="0" collapsed="false">
      <c r="A59" s="15" t="s">
        <v>472</v>
      </c>
      <c r="B59" s="10" t="s">
        <v>473</v>
      </c>
      <c r="C59" s="15" t="s">
        <v>449</v>
      </c>
      <c r="D59" s="15" t="s">
        <v>450</v>
      </c>
      <c r="E59" s="15" t="s">
        <v>474</v>
      </c>
      <c r="F59" s="15"/>
      <c r="G59" s="15" t="s">
        <v>143</v>
      </c>
      <c r="H59" s="15" t="s">
        <v>144</v>
      </c>
      <c r="I59" s="15" t="n">
        <v>25</v>
      </c>
      <c r="J59" s="15" t="n">
        <v>50</v>
      </c>
      <c r="K59" s="15" t="n">
        <v>75</v>
      </c>
      <c r="L59" s="15" t="n">
        <v>90</v>
      </c>
      <c r="M59" s="16" t="s">
        <v>475</v>
      </c>
      <c r="N59" s="16" t="s">
        <v>376</v>
      </c>
      <c r="O59" s="16"/>
      <c r="P59" s="11"/>
      <c r="Q59" s="11" t="n">
        <v>2026</v>
      </c>
      <c r="R59" s="11"/>
      <c r="S59" s="15" t="str">
        <f aca="false">IF($M59="","",IF(ISNUMBER($M59),"Measured",IF(ISNUMBER(SEARCH("DATA GAP",UPPER($M59))),"Gap",IF(AND($N59&lt;&gt;"",$P59&lt;&gt;"T5"),"Documented","Judged"))))</f>
        <v>Gap</v>
      </c>
      <c r="T59" s="15" t="str">
        <f aca="false">IF($AC59&lt;&gt;"","",IF(OR($S59="",$S59="Gap"),"",IF($S59="Measured",1+IF($H59="H",IF($M59&gt;=$I59,1,0)+IF($M59&gt;=$J59,1,0)+IF($M59&gt;=$K59,1,0)+IF($M59&gt;=$L59,1,0),IF($M59&lt;=$I59,1,0)+IF($M59&lt;=$J59,1,0)+IF($M59&lt;=$K59,1,0)+IF($M59&lt;=$L59,1,0)),IF($R59&lt;&gt;"",$R59,""))))</f>
        <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476</v>
      </c>
    </row>
    <row r="60" customFormat="false" ht="57.45" hidden="false" customHeight="false" outlineLevel="0" collapsed="false">
      <c r="A60" s="15" t="s">
        <v>477</v>
      </c>
      <c r="B60" s="10" t="s">
        <v>478</v>
      </c>
      <c r="C60" s="15" t="s">
        <v>449</v>
      </c>
      <c r="D60" s="15" t="s">
        <v>450</v>
      </c>
      <c r="E60" s="15" t="s">
        <v>202</v>
      </c>
      <c r="F60" s="15"/>
      <c r="G60" s="15" t="s">
        <v>154</v>
      </c>
      <c r="H60" s="15"/>
      <c r="M60" s="16" t="s">
        <v>479</v>
      </c>
      <c r="N60" s="16" t="s">
        <v>480</v>
      </c>
      <c r="O60" s="16" t="s">
        <v>481</v>
      </c>
      <c r="P60" s="11" t="s">
        <v>92</v>
      </c>
      <c r="Q60" s="11" t="n">
        <v>2021</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STALE</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482</v>
      </c>
    </row>
    <row r="61" customFormat="false" ht="124.6" hidden="false" customHeight="false" outlineLevel="0" collapsed="false">
      <c r="A61" s="15" t="s">
        <v>483</v>
      </c>
      <c r="B61" s="10" t="s">
        <v>484</v>
      </c>
      <c r="C61" s="15" t="s">
        <v>449</v>
      </c>
      <c r="D61" s="15" t="s">
        <v>450</v>
      </c>
      <c r="E61" s="15" t="s">
        <v>355</v>
      </c>
      <c r="F61" s="15"/>
      <c r="G61" s="15" t="s">
        <v>143</v>
      </c>
      <c r="H61" s="15" t="s">
        <v>144</v>
      </c>
      <c r="I61" s="15" t="n">
        <v>20</v>
      </c>
      <c r="J61" s="15" t="n">
        <v>40</v>
      </c>
      <c r="K61" s="15" t="n">
        <v>60</v>
      </c>
      <c r="L61" s="15" t="n">
        <v>80</v>
      </c>
      <c r="M61" s="16" t="s">
        <v>485</v>
      </c>
      <c r="N61" s="16" t="s">
        <v>376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486</v>
      </c>
    </row>
    <row r="64" customFormat="false" ht="15" hidden="false" customHeight="false" outlineLevel="0" collapsed="false">
      <c r="A64" s="18" t="s">
        <v>487</v>
      </c>
    </row>
    <row r="65" customFormat="false" ht="15" hidden="false" customHeight="false" outlineLevel="0" collapsed="false">
      <c r="A65" s="8" t="s">
        <v>115</v>
      </c>
      <c r="B65" s="8" t="s">
        <v>488</v>
      </c>
      <c r="C65" s="8" t="s">
        <v>489</v>
      </c>
      <c r="D65" s="8" t="s">
        <v>490</v>
      </c>
      <c r="E65" s="8" t="s">
        <v>491</v>
      </c>
      <c r="F65" s="8" t="s">
        <v>492</v>
      </c>
      <c r="G65" s="8" t="s">
        <v>493</v>
      </c>
      <c r="H65" s="8" t="s">
        <v>494</v>
      </c>
      <c r="I65" s="8" t="s">
        <v>495</v>
      </c>
      <c r="J65" s="8" t="s">
        <v>496</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2.25</v>
      </c>
      <c r="E66" s="9" t="str">
        <f aca="false">IF($D66="","Not rated",IF((COUNTIFS($C$5:$C$61,$A66,$S$5:$S$61,"Judged",$T$5:$T$61,"&gt;0")+$I66+$J66)&gt;($C66-COUNTIFS($C$5:$C$61,$A66,$S$5:$S$61,"Judged",$T$5:$T$61,"&gt;0")),"("&amp;IF($D66&lt;1.8,"Nascent",IF($D66&lt;2.6,"Emerging",IF($D66&lt;3.4,"Established",IF($D66&lt;4.2,"Advanced","Transformative"))))&amp;")",IF($D66&lt;1.8,"Nascent",IF($D66&lt;2.6,"Emerging",IF($D66&lt;3.4,"Established",IF($D66&lt;4.2,"Advanced","Transformative"))))))</f>
        <v>Emerging</v>
      </c>
      <c r="F66" s="15" t="n">
        <f aca="false">COUNTIFS($C$5:$C$61,$A66,$S$5:$S$61,"Measured")</f>
        <v>5</v>
      </c>
      <c r="G66" s="15" t="n">
        <f aca="false">COUNTIFS($C$5:$C$61,$A66,$S$5:$S$61,"Documented")</f>
        <v>5</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201</v>
      </c>
      <c r="B67" s="15" t="n">
        <f aca="false">COUNTIF($C$5:$C$61,$A67)</f>
        <v>6</v>
      </c>
      <c r="C67" s="15" t="n">
        <f aca="false">COUNTIFS($C$5:$C$61,$A67,$T$5:$T$61,"&gt;0")</f>
        <v>6</v>
      </c>
      <c r="D67" s="15" t="n">
        <f aca="false">IFERROR(ROUND(AVERAGEIF($C$5:$C$61,$A67,$T$5:$T$61),2),"")</f>
        <v>2.83</v>
      </c>
      <c r="E67" s="9" t="str">
        <f aca="false">IF($D67="","Not rated",IF((COUNTIFS($C$5:$C$61,$A67,$S$5:$S$61,"Judged",$T$5:$T$61,"&gt;0")+$I67+$J67)&gt;($C67-COUNTIFS($C$5:$C$61,$A67,$S$5:$S$61,"Judged",$T$5:$T$61,"&gt;0")),"("&amp;IF($D67&lt;1.8,"Nascent",IF($D67&lt;2.6,"Emerging",IF($D67&lt;3.4,"Established",IF($D67&lt;4.2,"Advanced","Transformative"))))&amp;")",IF($D67&lt;1.8,"Nascent",IF($D67&lt;2.6,"Emerging",IF($D67&lt;3.4,"Established",IF($D67&lt;4.2,"Advanced","Transformative"))))))</f>
        <v>Established</v>
      </c>
      <c r="F67" s="15" t="n">
        <f aca="false">COUNTIFS($C$5:$C$61,$A67,$S$5:$S$61,"Measured")</f>
        <v>4</v>
      </c>
      <c r="G67" s="15" t="n">
        <f aca="false">COUNTIFS($C$5:$C$61,$A67,$S$5:$S$61,"Documented")</f>
        <v>2</v>
      </c>
      <c r="H67" s="15" t="n">
        <f aca="false">COUNTIFS($C$5:$C$61,$A67,$S$5:$S$61,"Judged")</f>
        <v>0</v>
      </c>
      <c r="I67" s="15" t="n">
        <f aca="false">COUNTIFS($C$5:$C$61,$A67,$S$5:$S$61,"Gap")</f>
        <v>0</v>
      </c>
      <c r="J67" s="15" t="n">
        <f aca="false">COUNTIFS($C$5:$C$61,$A67,$AC$5:$AC$61,"&lt;&gt;")</f>
        <v>0</v>
      </c>
      <c r="K67" s="15" t="n">
        <f aca="false">COUNTIFS($C$5:$C$61,$A67,$U$5:$U$61,"STALE")</f>
        <v>0</v>
      </c>
    </row>
    <row r="68" customFormat="false" ht="15" hidden="false" customHeight="false" outlineLevel="0" collapsed="false">
      <c r="A68" s="9" t="s">
        <v>234</v>
      </c>
      <c r="B68" s="15" t="n">
        <f aca="false">COUNTIF($C$5:$C$61,$A68)</f>
        <v>8</v>
      </c>
      <c r="C68" s="15" t="n">
        <f aca="false">COUNTIFS($C$5:$C$61,$A68,$T$5:$T$61,"&gt;0")</f>
        <v>7</v>
      </c>
      <c r="D68" s="15" t="n">
        <f aca="false">IFERROR(ROUND(AVERAGEIF($C$5:$C$61,$A68,$T$5:$T$61),2),"")</f>
        <v>2.57</v>
      </c>
      <c r="E68" s="9" t="str">
        <f aca="false">IF($D68="","Not rated",IF((COUNTIFS($C$5:$C$61,$A68,$S$5:$S$61,"Judged",$T$5:$T$61,"&gt;0")+$I68+$J68)&gt;($C68-COUNTIFS($C$5:$C$61,$A68,$S$5:$S$61,"Judged",$T$5:$T$61,"&gt;0")),"("&amp;IF($D68&lt;1.8,"Nascent",IF($D68&lt;2.6,"Emerging",IF($D68&lt;3.4,"Established",IF($D68&lt;4.2,"Advanced","Transformative"))))&amp;")",IF($D68&lt;1.8,"Nascent",IF($D68&lt;2.6,"Emerging",IF($D68&lt;3.4,"Established",IF($D68&lt;4.2,"Advanced","Transformative"))))))</f>
        <v>Emerging</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1</v>
      </c>
      <c r="K68" s="15" t="n">
        <f aca="false">COUNTIFS($C$5:$C$61,$A68,$U$5:$U$61,"STALE")</f>
        <v>0</v>
      </c>
    </row>
    <row r="69" customFormat="false" ht="15" hidden="false" customHeight="false" outlineLevel="0" collapsed="false">
      <c r="A69" s="9" t="s">
        <v>291</v>
      </c>
      <c r="B69" s="15" t="n">
        <f aca="false">COUNTIF($C$5:$C$61,$A69)</f>
        <v>8</v>
      </c>
      <c r="C69" s="15" t="n">
        <f aca="false">COUNTIFS($C$5:$C$61,$A69,$T$5:$T$61,"&gt;0")</f>
        <v>8</v>
      </c>
      <c r="D69" s="15" t="n">
        <f aca="false">IFERROR(ROUND(AVERAGEIF($C$5:$C$61,$A69,$T$5:$T$61),2),"")</f>
        <v>2.88</v>
      </c>
      <c r="E69" s="9" t="str">
        <f aca="false">IF($D69="","Not rated",IF((COUNTIFS($C$5:$C$61,$A69,$S$5:$S$61,"Judged",$T$5:$T$61,"&gt;0")+$I69+$J69)&gt;($C69-COUNTIFS($C$5:$C$61,$A69,$S$5:$S$61,"Judged",$T$5:$T$61,"&gt;0")),"("&amp;IF($D69&lt;1.8,"Nascent",IF($D69&lt;2.6,"Emerging",IF($D69&lt;3.4,"Established",IF($D69&lt;4.2,"Advanced","Transformative"))))&amp;")",IF($D69&lt;1.8,"Nascent",IF($D69&lt;2.6,"Emerging",IF($D69&lt;3.4,"Established",IF($D69&lt;4.2,"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0</v>
      </c>
    </row>
    <row r="70" customFormat="false" ht="15" hidden="false" customHeight="false" outlineLevel="0" collapsed="false">
      <c r="A70" s="9" t="s">
        <v>339</v>
      </c>
      <c r="B70" s="15" t="n">
        <f aca="false">COUNTIF($C$5:$C$61,$A70)</f>
        <v>7</v>
      </c>
      <c r="C70" s="15" t="n">
        <f aca="false">COUNTIFS($C$5:$C$61,$A70,$T$5:$T$61,"&gt;0")</f>
        <v>4</v>
      </c>
      <c r="D70" s="15" t="n">
        <f aca="false">IFERROR(ROUND(AVERAGEIF($C$5:$C$61,$A70,$T$5:$T$61),2),"")</f>
        <v>2.5</v>
      </c>
      <c r="E70" s="9" t="str">
        <f aca="false">IF($D70="","Not rated",IF((COUNTIFS($C$5:$C$61,$A70,$S$5:$S$61,"Judged",$T$5:$T$61,"&gt;0")+$I70+$J70)&gt;($C70-COUNTIFS($C$5:$C$61,$A70,$S$5:$S$61,"Judged",$T$5:$T$61,"&gt;0")),"("&amp;IF($D70&lt;1.8,"Nascent",IF($D70&lt;2.6,"Emerging",IF($D70&lt;3.4,"Established",IF($D70&lt;4.2,"Advanced","Transformative"))))&amp;")",IF($D70&lt;1.8,"Nascent",IF($D70&lt;2.6,"Emerging",IF($D70&lt;3.4,"Established",IF($D70&lt;4.2,"Advanced","Transformative"))))))</f>
        <v>Emerging</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2</v>
      </c>
      <c r="K70" s="15" t="n">
        <f aca="false">COUNTIFS($C$5:$C$61,$A70,$U$5:$U$61,"STALE")</f>
        <v>2</v>
      </c>
    </row>
    <row r="71" customFormat="false" ht="15" hidden="false" customHeight="false" outlineLevel="0" collapsed="false">
      <c r="A71" s="9" t="s">
        <v>380</v>
      </c>
      <c r="B71" s="15" t="n">
        <f aca="false">COUNTIF($C$5:$C$61,$A71)</f>
        <v>11</v>
      </c>
      <c r="C71" s="15" t="n">
        <f aca="false">COUNTIFS($C$5:$C$61,$A71,$T$5:$T$61,"&gt;0")</f>
        <v>9</v>
      </c>
      <c r="D71" s="15" t="n">
        <f aca="false">IFERROR(ROUND(AVERAGEIF($C$5:$C$61,$A71,$T$5:$T$61),2),"")</f>
        <v>2.56</v>
      </c>
      <c r="E71" s="9" t="str">
        <f aca="false">IF($D71="","Not rated",IF((COUNTIFS($C$5:$C$61,$A71,$S$5:$S$61,"Judged",$T$5:$T$61,"&gt;0")+$I71+$J71)&gt;($C71-COUNTIFS($C$5:$C$61,$A71,$S$5:$S$61,"Judged",$T$5:$T$61,"&gt;0")),"("&amp;IF($D71&lt;1.8,"Nascent",IF($D71&lt;2.6,"Emerging",IF($D71&lt;3.4,"Established",IF($D71&lt;4.2,"Advanced","Transformative"))))&amp;")",IF($D71&lt;1.8,"Nascent",IF($D71&lt;2.6,"Emerging",IF($D71&lt;3.4,"Established",IF($D71&lt;4.2,"Advanced","Transformative"))))))</f>
        <v>Emerging</v>
      </c>
      <c r="F71" s="15" t="n">
        <f aca="false">COUNTIFS($C$5:$C$61,$A71,$S$5:$S$61,"Measured")</f>
        <v>1</v>
      </c>
      <c r="G71" s="15" t="n">
        <f aca="false">COUNTIFS($C$5:$C$61,$A71,$S$5:$S$61,"Documented")</f>
        <v>8</v>
      </c>
      <c r="H71" s="15" t="n">
        <f aca="false">COUNTIFS($C$5:$C$61,$A71,$S$5:$S$61,"Judged")</f>
        <v>1</v>
      </c>
      <c r="I71" s="15" t="n">
        <f aca="false">COUNTIFS($C$5:$C$61,$A71,$S$5:$S$61,"Gap")</f>
        <v>1</v>
      </c>
      <c r="J71" s="15" t="n">
        <f aca="false">COUNTIFS($C$5:$C$61,$A71,$AC$5:$AC$61,"&lt;&gt;")</f>
        <v>1</v>
      </c>
      <c r="K71" s="15" t="n">
        <f aca="false">COUNTIFS($C$5:$C$61,$A71,$U$5:$U$61,"STALE")</f>
        <v>1</v>
      </c>
    </row>
    <row r="72" customFormat="false" ht="15" hidden="false" customHeight="false" outlineLevel="0" collapsed="false">
      <c r="A72" s="9" t="s">
        <v>449</v>
      </c>
      <c r="B72" s="15" t="n">
        <f aca="false">COUNTIF($C$5:$C$61,$A72)</f>
        <v>7</v>
      </c>
      <c r="C72" s="15" t="n">
        <f aca="false">COUNTIFS($C$5:$C$61,$A72,$T$5:$T$61,"&gt;0")</f>
        <v>4</v>
      </c>
      <c r="D72" s="15" t="n">
        <f aca="false">IFERROR(ROUND(AVERAGEIF($C$5:$C$61,$A72,$T$5:$T$61),2),"")</f>
        <v>3.25</v>
      </c>
      <c r="E72" s="9" t="str">
        <f aca="false">IF($D72="","Not rated",IF((COUNTIFS($C$5:$C$61,$A72,$S$5:$S$61,"Judged",$T$5:$T$61,"&gt;0")+$I72+$J72)&gt;($C72-COUNTIFS($C$5:$C$61,$A72,$S$5:$S$61,"Judged",$T$5:$T$61,"&gt;0")),"("&amp;IF($D72&lt;1.8,"Nascent",IF($D72&lt;2.6,"Emerging",IF($D72&lt;3.4,"Established",IF($D72&lt;4.2,"Advanced","Transformative"))))&amp;")",IF($D72&lt;1.8,"Nascent",IF($D72&lt;2.6,"Emerging",IF($D72&lt;3.4,"Established",IF($D72&lt;4.2,"Advanced","Transformative"))))))</f>
        <v>Established</v>
      </c>
      <c r="F72" s="15" t="n">
        <f aca="false">COUNTIFS($C$5:$C$61,$A72,$S$5:$S$61,"Measured")</f>
        <v>3</v>
      </c>
      <c r="G72" s="15" t="n">
        <f aca="false">COUNTIFS($C$5:$C$61,$A72,$S$5:$S$61,"Documented")</f>
        <v>2</v>
      </c>
      <c r="H72" s="15" t="n">
        <f aca="false">COUNTIFS($C$5:$C$61,$A72,$S$5:$S$61,"Judged")</f>
        <v>0</v>
      </c>
      <c r="I72" s="15" t="n">
        <f aca="false">COUNTIFS($C$5:$C$61,$A72,$S$5:$S$61,"Gap")</f>
        <v>2</v>
      </c>
      <c r="J72" s="15" t="n">
        <f aca="false">COUNTIFS($C$5:$C$61,$A72,$AC$5:$AC$61,"&lt;&gt;")</f>
        <v>1</v>
      </c>
      <c r="K72" s="15" t="n">
        <f aca="false">COUNTIFS($C$5:$C$61,$A72,$U$5:$U$61,"STALE")</f>
        <v>2</v>
      </c>
    </row>
    <row r="75" customFormat="false" ht="15" hidden="false" customHeight="false" outlineLevel="0" collapsed="false">
      <c r="A75" s="18" t="s">
        <v>497</v>
      </c>
    </row>
    <row r="76" customFormat="false" ht="15" hidden="false" customHeight="false" outlineLevel="0" collapsed="false">
      <c r="A76" s="9" t="s">
        <v>141</v>
      </c>
      <c r="B76" s="15" t="n">
        <f aca="false">IFERROR(ROUND(AVERAGEIF($D$5:$D$61,$A76,$T$5:$T$61),2),"")</f>
        <v>2.5</v>
      </c>
    </row>
    <row r="77" customFormat="false" ht="15" hidden="false" customHeight="false" outlineLevel="0" collapsed="false">
      <c r="A77" s="9" t="s">
        <v>235</v>
      </c>
      <c r="B77" s="15" t="n">
        <f aca="false">IFERROR(ROUND(AVERAGEIF($D$5:$D$61,$A77,$T$5:$T$61),2),"")</f>
        <v>2.62</v>
      </c>
    </row>
    <row r="78" customFormat="false" ht="15" hidden="false" customHeight="false" outlineLevel="0" collapsed="false">
      <c r="A78" s="9" t="s">
        <v>388</v>
      </c>
      <c r="B78" s="15" t="n">
        <f aca="false">IFERROR(ROUND(AVERAGEIF($D$5:$D$61,$A78,$T$5:$T$61),2),"")</f>
        <v>2.71</v>
      </c>
    </row>
    <row r="79" customFormat="false" ht="15" hidden="false" customHeight="false" outlineLevel="0" collapsed="false">
      <c r="A79" s="9" t="s">
        <v>450</v>
      </c>
      <c r="B79" s="15" t="n">
        <f aca="false">IFERROR(ROUND(AVERAGEIF($D$5:$D$61,$A79,$T$5:$T$61),2),"")</f>
        <v>3.25</v>
      </c>
    </row>
    <row r="81" customFormat="false" ht="15" hidden="false" customHeight="false" outlineLevel="0" collapsed="false">
      <c r="A81" s="5" t="s">
        <v>498</v>
      </c>
      <c r="B81" s="9" t="n">
        <f aca="false">IF(OR($B$76="",$B$78=""),"",ROUND($B$76-$B$78,2))</f>
        <v>-0.21</v>
      </c>
      <c r="C81" s="15" t="str">
        <f aca="false">IF($B$81="","",IF(ABS($B$81)&gt;Config!$C$5,IF($B$81&gt;0,"FLAG — unrealized foundations","FLAG — services ahead of their rails"),"No structural flag"))</f>
        <v>No structural flag</v>
      </c>
    </row>
    <row r="84" customFormat="false" ht="15" hidden="false" customHeight="false" outlineLevel="0" collapsed="false">
      <c r="A84" s="18" t="s">
        <v>499</v>
      </c>
    </row>
    <row r="85" customFormat="false" ht="15" hidden="false" customHeight="false" outlineLevel="0" collapsed="false">
      <c r="A85" s="8" t="s">
        <v>113</v>
      </c>
      <c r="B85" s="8" t="s">
        <v>500</v>
      </c>
      <c r="C85" s="8" t="s">
        <v>501</v>
      </c>
      <c r="D85" s="8" t="s">
        <v>502</v>
      </c>
    </row>
    <row r="86" customFormat="false" ht="15" hidden="false" customHeight="false" outlineLevel="0" collapsed="false">
      <c r="A86" s="15" t="s">
        <v>199</v>
      </c>
      <c r="B86" s="10" t="str">
        <f aca="false">INDEX($B$5:$B$61,MATCH($A86,$A$5:$A$61,0))</f>
        <v>Rural mobile broadband coverage (3G/4G)</v>
      </c>
      <c r="C86" s="15" t="s">
        <v>503</v>
      </c>
      <c r="D86" s="9" t="str">
        <f aca="false">IF(OR(INDEX($S$5:$S$61,MATCH($A86,$A$5:$A$61,0))="Gap",INDEX($S$5:$S$61,MATCH($A86,$A$5:$A$61,0))="",INDEX($T$5:$T$61,MATCH($A86,$A$5:$A$61,0))=""),"Unverified",IF(INDEX($T$5:$T$61,MATCH($A86,$A$5:$A$61,0))&gt;=3,"Present",IF(INDEX($T$5:$T$61,MATCH($A86,$A$5:$A$61,0))=2,"Present (narrow)","Absent")))</f>
        <v>Present</v>
      </c>
    </row>
    <row r="87" customFormat="false" ht="15" hidden="false" customHeight="false" outlineLevel="0" collapsed="false">
      <c r="A87" s="15" t="s">
        <v>222</v>
      </c>
      <c r="B87" s="10" t="str">
        <f aca="false">INDEX($B$5:$B$61,MATCH($A87,$A$5:$A$61,0))</f>
        <v>Rural electricity access (%)</v>
      </c>
      <c r="C87" s="15" t="s">
        <v>503</v>
      </c>
      <c r="D87" s="9" t="str">
        <f aca="false">IF(OR(INDEX($S$5:$S$61,MATCH($A87,$A$5:$A$61,0))="Gap",INDEX($S$5:$S$61,MATCH($A87,$A$5:$A$61,0))="",INDEX($T$5:$T$61,MATCH($A87,$A$5:$A$61,0))=""),"Unverified",IF(INDEX($T$5:$T$61,MATCH($A87,$A$5:$A$61,0))&gt;=3,"Present",IF(INDEX($T$5:$T$61,MATCH($A87,$A$5:$A$61,0))=2,"Present (narrow)","Absent")))</f>
        <v>Present (narrow)</v>
      </c>
    </row>
    <row r="88" customFormat="false" ht="15" hidden="false" customHeight="false" outlineLevel="0" collapsed="false">
      <c r="A88" s="15" t="s">
        <v>289</v>
      </c>
      <c r="B88" s="10" t="str">
        <f aca="false">INDEX($B$5:$B$61,MATCH($A88,$A$5:$A$61,0))</f>
        <v>Data protection/privacy law</v>
      </c>
      <c r="C88" s="15" t="s">
        <v>503</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504</v>
      </c>
      <c r="D89" s="9" t="str">
        <f aca="false">IF(OR(INDEX($S$5:$S$61,MATCH($A89,$A$5:$A$61,0))="Gap",INDEX($S$5:$S$61,MATCH($A89,$A$5:$A$61,0))="",INDEX($T$5:$T$61,MATCH($A89,$A$5:$A$61,0))=""),"Unverified",IF(INDEX($T$5:$T$61,MATCH($A89,$A$5:$A$61,0))&gt;=3,"Present",IF(INDEX($T$5:$T$61,MATCH($A89,$A$5:$A$61,0))=2,"Present (narrow)","Absent")))</f>
        <v>Present (narrow)</v>
      </c>
    </row>
    <row r="90" customFormat="false" ht="15" hidden="false" customHeight="false" outlineLevel="0" collapsed="false">
      <c r="A90" s="15" t="s">
        <v>282</v>
      </c>
      <c r="B90" s="10" t="str">
        <f aca="false">INDEX($B$5:$B$61,MATCH($A90,$A$5:$A$61,0))</f>
        <v>Agricultural data interoperability standards</v>
      </c>
      <c r="C90" s="15" t="s">
        <v>505</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311</v>
      </c>
      <c r="B91" s="10" t="str">
        <f aca="false">INDEX($B$5:$B$61,MATCH($A91,$A$5:$A$61,0))</f>
        <v>Agricultural data governance framework</v>
      </c>
      <c r="C91" s="15" t="s">
        <v>505</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323</v>
      </c>
      <c r="B92" s="10" t="str">
        <f aca="false">INDEX($B$5:$B$61,MATCH($A92,$A$5:$A$61,0))</f>
        <v>Digital ID coverage (%)</v>
      </c>
      <c r="C92" s="15" t="s">
        <v>506</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330</v>
      </c>
      <c r="B93" s="10" t="str">
        <f aca="false">INDEX($B$5:$B$61,MATCH($A93,$A$5:$A$61,0))</f>
        <v>Inter-ministerial coordination mechanism</v>
      </c>
      <c r="C93" s="15" t="s">
        <v>507</v>
      </c>
      <c r="D93" s="9" t="str">
        <f aca="false">IF(OR(INDEX($S$5:$S$61,MATCH($A93,$A$5:$A$61,0))="Gap",INDEX($S$5:$S$61,MATCH($A93,$A$5:$A$61,0))="",INDEX($T$5:$T$61,MATCH($A93,$A$5:$A$61,0))=""),"Unverified",IF(INDEX($T$5:$T$61,MATCH($A93,$A$5:$A$61,0))&gt;=3,"Present",IF(INDEX($T$5:$T$61,MATCH($A93,$A$5:$A$61,0))=2,"Present (narrow)","Absent")))</f>
        <v>Absent</v>
      </c>
    </row>
    <row r="94" customFormat="false" ht="15" hidden="false" customHeight="false" outlineLevel="0" collapsed="false">
      <c r="A94" s="15" t="s">
        <v>353</v>
      </c>
      <c r="B94" s="10" t="str">
        <f aca="false">INDEX($B$5:$B$61,MATCH($A94,$A$5:$A$61,0))</f>
        <v>Digital extension capability</v>
      </c>
      <c r="C94" s="15" t="s">
        <v>508</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360</v>
      </c>
      <c r="B95" s="10" t="str">
        <f aca="false">INDEX($B$5:$B$61,MATCH($A95,$A$5:$A$61,0))</f>
        <v>MoAg digital/AI unit</v>
      </c>
      <c r="C95" s="15" t="s">
        <v>507</v>
      </c>
      <c r="D95" s="9" t="str">
        <f aca="false">IF(OR(INDEX($S$5:$S$61,MATCH($A95,$A$5:$A$61,0))="Gap",INDEX($S$5:$S$61,MATCH($A95,$A$5:$A$61,0))="",INDEX($T$5:$T$61,MATCH($A95,$A$5:$A$61,0))=""),"Unverified",IF(INDEX($T$5:$T$61,MATCH($A95,$A$5:$A$61,0))&gt;=3,"Present",IF(INDEX($T$5:$T$61,MATCH($A95,$A$5:$A$61,0))=2,"Present (narrow)","Absent")))</f>
        <v>Absent</v>
      </c>
    </row>
    <row r="96" customFormat="false" ht="15" hidden="false" customHeight="false" outlineLevel="0" collapsed="false">
      <c r="A96" s="15" t="s">
        <v>413</v>
      </c>
      <c r="B96" s="10" t="str">
        <f aca="false">INDEX($B$5:$B$61,MATCH($A96,$A$5:$A$61,0))</f>
        <v>Agri-fintech rails for smallholders</v>
      </c>
      <c r="C96" s="15" t="s">
        <v>506</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439</v>
      </c>
      <c r="B97" s="10" t="str">
        <f aca="false">INDEX($B$5:$B$61,MATCH($A97,$A$5:$A$61,0))</f>
        <v>Responsible-AI safeguards (consent, rights)</v>
      </c>
      <c r="C97" s="15" t="s">
        <v>509</v>
      </c>
      <c r="D97" s="9" t="str">
        <f aca="false">IF(OR(INDEX($S$5:$S$61,MATCH($A97,$A$5:$A$61,0))="Gap",INDEX($S$5:$S$61,MATCH($A97,$A$5:$A$61,0))="",INDEX($T$5:$T$61,MATCH($A97,$A$5:$A$61,0))=""),"Unverified",IF(INDEX($T$5:$T$61,MATCH($A97,$A$5:$A$61,0))&gt;=3,"Present",IF(INDEX($T$5:$T$61,MATCH($A97,$A$5:$A$61,0))=2,"Present (narrow)","Absent")))</f>
        <v>Present</v>
      </c>
    </row>
    <row r="100" customFormat="false" ht="15" hidden="false" customHeight="false" outlineLevel="0" collapsed="false">
      <c r="A100" s="18" t="s">
        <v>510</v>
      </c>
    </row>
    <row r="101" customFormat="false" ht="15" hidden="false" customHeight="false" outlineLevel="0" collapsed="false">
      <c r="A101" s="8" t="s">
        <v>511</v>
      </c>
      <c r="B101" s="8" t="s">
        <v>512</v>
      </c>
      <c r="C101" s="8" t="s">
        <v>502</v>
      </c>
      <c r="D101" s="8" t="s">
        <v>513</v>
      </c>
    </row>
    <row r="102" customFormat="false" ht="15" hidden="false" customHeight="false" outlineLevel="0" collapsed="false">
      <c r="A102" s="9" t="s">
        <v>514</v>
      </c>
      <c r="B102" s="15" t="n">
        <f aca="false">IFERROR(ROUND(AVERAGEIF(V$5:V$61,1,$T$5:$T$61),2),"")</f>
        <v>2.72</v>
      </c>
      <c r="C102" s="9" t="str">
        <f aca="false">IF(OR($D$86="Absent",$D$87="Absent",$D$88="Absent",$D$94="Absent"),"Blocked",IF(OR($D$86="Unverified",$D$87="Unverified",$D$88="Unverified",$D$94="Unverified"),"Unverified",IF(OR(OR($D$94="Present (narrow)"),$B102&lt;Config!$C$4,OR($D$86="Present (narrow)",$D$87="Present (narrow)",$D$88="Present (narrow)")),"Partial","Ready")))</f>
        <v>Partial</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2.9</v>
      </c>
    </row>
    <row r="103" customFormat="false" ht="15" hidden="false" customHeight="false" outlineLevel="0" collapsed="false">
      <c r="A103" s="9" t="s">
        <v>515</v>
      </c>
      <c r="B103" s="15" t="n">
        <f aca="false">IFERROR(ROUND(AVERAGEIF(W$5:W$61,1,$T$5:$T$61),2),"")</f>
        <v>2.69</v>
      </c>
      <c r="C103" s="9" t="str">
        <f aca="false">IF(OR($D$86="Absent",$D$87="Absent",$D$88="Absent"),"Blocked",IF(OR($D$86="Unverified",$D$87="Unverified",$D$88="Unverified"),"Unverified",IF(OR($B103&lt;Config!$C$4,OR($D$86="Present (narrow)",$D$87="Present (narrow)",$D$88="Present (narrow)")),"Partial","Ready")))</f>
        <v>Partial</v>
      </c>
      <c r="D103" s="10" t="str">
        <f aca="false">IF($C103="Ready","",IF(TRIM(IF($D$86&lt;&gt;"Present",$A$86&amp;" ","")&amp;IF($D$87&lt;&gt;"Present",$A$87&amp;" ","")&amp;IF($D$88&lt;&gt;"Present",$A$88&amp;" ",""))&lt;&gt;"",TRIM(IF($D$86&lt;&gt;"Present",$A$86&amp;" ","")&amp;IF($D$87&lt;&gt;"Present",$A$87&amp;" ","")&amp;IF($D$88&lt;&gt;"Present",$A$88&amp;" ","")),IF($B103&lt;Config!$C$4,"thin enablers (mean below "&amp;TEXT(Config!$C$4,"0.0")&amp;")","")))</f>
        <v>2.9</v>
      </c>
    </row>
    <row r="104" customFormat="false" ht="15" hidden="false" customHeight="false" outlineLevel="0" collapsed="false">
      <c r="A104" s="9" t="s">
        <v>516</v>
      </c>
      <c r="B104" s="15" t="n">
        <f aca="false">IFERROR(ROUND(AVERAGEIF(X$5:X$61,1,$T$5:$T$61),2),"")</f>
        <v>2.58</v>
      </c>
      <c r="C104" s="9" t="str">
        <f aca="false">IF(OR($D$86="Absent",$D$87="Absent",$D$88="Absent"),"Blocked",IF(OR($D$86="Unverified",$D$87="Unverified",$D$88="Unverified"),"Unverified",IF(OR($B104&lt;Config!$C$4,OR($D$86="Present (narrow)",$D$87="Present (narrow)",$D$88="Present (narrow)")),"Partial","Ready")))</f>
        <v>Partial</v>
      </c>
      <c r="D104" s="10" t="str">
        <f aca="false">IF($C104="Ready","",IF(TRIM(IF($D$86&lt;&gt;"Present",$A$86&amp;" ","")&amp;IF($D$87&lt;&gt;"Present",$A$87&amp;" ","")&amp;IF($D$88&lt;&gt;"Present",$A$88&amp;" ",""))&lt;&gt;"",TRIM(IF($D$86&lt;&gt;"Present",$A$86&amp;" ","")&amp;IF($D$87&lt;&gt;"Present",$A$87&amp;" ","")&amp;IF($D$88&lt;&gt;"Present",$A$88&amp;" ","")),IF($B104&lt;Config!$C$4,"thin enablers (mean below "&amp;TEXT(Config!$C$4,"0.0")&amp;")","")))</f>
        <v>2.9</v>
      </c>
    </row>
    <row r="105" customFormat="false" ht="15" hidden="false" customHeight="false" outlineLevel="0" collapsed="false">
      <c r="A105" s="9" t="s">
        <v>517</v>
      </c>
      <c r="B105" s="15" t="n">
        <f aca="false">IFERROR(ROUND(AVERAGEIF(Y$5:Y$61,1,$T$5:$T$61),2),"")</f>
        <v>2.63</v>
      </c>
      <c r="C105" s="9" t="str">
        <f aca="false">IF(OR($D$86="Absent",$D$87="Absent",$D$88="Absent"),"Blocked",IF(OR($D$86="Unverified",$D$87="Unverified",$D$88="Unverified"),"Unverified",IF(OR($B105&lt;Config!$C$4,OR($D$86="Present (narrow)",$D$87="Present (narrow)",$D$88="Present (narrow)")),"Partial","Ready")))</f>
        <v>Partial</v>
      </c>
      <c r="D105" s="10" t="str">
        <f aca="false">IF($C105="Ready","",IF(TRIM(IF($D$86&lt;&gt;"Present",$A$86&amp;" ","")&amp;IF($D$87&lt;&gt;"Present",$A$87&amp;" ","")&amp;IF($D$88&lt;&gt;"Present",$A$88&amp;" ",""))&lt;&gt;"",TRIM(IF($D$86&lt;&gt;"Present",$A$86&amp;" ","")&amp;IF($D$87&lt;&gt;"Present",$A$87&amp;" ","")&amp;IF($D$88&lt;&gt;"Present",$A$88&amp;" ","")),IF($B105&lt;Config!$C$4,"thin enablers (mean below "&amp;TEXT(Config!$C$4,"0.0")&amp;")","")))</f>
        <v>2.9</v>
      </c>
    </row>
    <row r="106" customFormat="false" ht="15" hidden="false" customHeight="false" outlineLevel="0" collapsed="false">
      <c r="A106" s="9" t="s">
        <v>518</v>
      </c>
      <c r="B106" s="15" t="n">
        <f aca="false">IFERROR(ROUND(AVERAGEIF(Z$5:Z$61,1,$T$5:$T$61),2),"")</f>
        <v>2.5</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Partial</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2.9 3.3</v>
      </c>
    </row>
    <row r="107" customFormat="false" ht="15" hidden="false" customHeight="false" outlineLevel="0" collapsed="false">
      <c r="A107" s="9" t="s">
        <v>519</v>
      </c>
      <c r="B107" s="15" t="n">
        <f aca="false">IFERROR(ROUND(AVERAGEIF(AA$5:AA$61,1,$T$5:$T$61),2),"")</f>
        <v>2.59</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2.9 3.3 3.11 4.5</v>
      </c>
    </row>
    <row r="110" customFormat="false" ht="15" hidden="false" customHeight="false" outlineLevel="0" collapsed="false">
      <c r="A110" s="19" t="s">
        <v>520</v>
      </c>
      <c r="B110" s="19"/>
      <c r="C110" s="19"/>
      <c r="D110" s="19"/>
      <c r="E110" s="19"/>
      <c r="F110" s="19"/>
      <c r="G110" s="19"/>
      <c r="H110" s="19"/>
    </row>
    <row r="111" customFormat="false" ht="46.25" hidden="false" customHeight="false" outlineLevel="0" collapsed="false">
      <c r="A111" s="15" t="s">
        <v>521</v>
      </c>
      <c r="B111" s="10" t="s">
        <v>522</v>
      </c>
      <c r="C111" s="15" t="s">
        <v>523</v>
      </c>
      <c r="M111" s="16" t="n">
        <v>16.3</v>
      </c>
      <c r="N111" s="16" t="s">
        <v>524</v>
      </c>
      <c r="O111" s="16" t="s">
        <v>525</v>
      </c>
      <c r="P111" s="11" t="s">
        <v>88</v>
      </c>
      <c r="Q111" s="11" t="n">
        <v>2022</v>
      </c>
      <c r="S111" s="20" t="s">
        <v>526</v>
      </c>
    </row>
    <row r="112" customFormat="false" ht="46.25" hidden="false" customHeight="false" outlineLevel="0" collapsed="false">
      <c r="A112" s="15" t="s">
        <v>527</v>
      </c>
      <c r="B112" s="10" t="s">
        <v>528</v>
      </c>
      <c r="C112" s="15" t="s">
        <v>523</v>
      </c>
      <c r="M112" s="16" t="n">
        <v>0.32317113096099</v>
      </c>
      <c r="N112" s="16" t="s">
        <v>529</v>
      </c>
      <c r="O112" s="16" t="s">
        <v>530</v>
      </c>
      <c r="P112" s="11" t="s">
        <v>88</v>
      </c>
      <c r="Q112" s="11" t="n">
        <v>2017</v>
      </c>
      <c r="S112" s="20" t="s">
        <v>526</v>
      </c>
      <c r="AB112" s="17" t="s">
        <v>531</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532</v>
      </c>
    </row>
    <row r="2" customFormat="false" ht="15" hidden="false" customHeight="false" outlineLevel="0" collapsed="false">
      <c r="B2" s="2" t="s">
        <v>533</v>
      </c>
    </row>
    <row r="4" customFormat="false" ht="15" hidden="false" customHeight="false" outlineLevel="0" collapsed="false">
      <c r="B4" s="8" t="s">
        <v>534</v>
      </c>
      <c r="C4" s="8" t="s">
        <v>28</v>
      </c>
      <c r="D4" s="8" t="s">
        <v>128</v>
      </c>
      <c r="E4" s="8" t="s">
        <v>535</v>
      </c>
      <c r="F4" s="8" t="s">
        <v>536</v>
      </c>
      <c r="G4" s="8" t="s">
        <v>537</v>
      </c>
      <c r="H4" s="8" t="s">
        <v>538</v>
      </c>
      <c r="I4" s="8" t="s">
        <v>502</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539</v>
      </c>
    </row>
    <row r="2" customFormat="false" ht="15" hidden="false" customHeight="false" outlineLevel="0" collapsed="false">
      <c r="A2" s="2" t="s">
        <v>540</v>
      </c>
    </row>
    <row r="3" customFormat="false" ht="15" hidden="false" customHeight="false" outlineLevel="0" collapsed="false">
      <c r="A3" s="5" t="s">
        <v>115</v>
      </c>
      <c r="B3" s="5" t="s">
        <v>490</v>
      </c>
      <c r="C3" s="5" t="s">
        <v>492</v>
      </c>
      <c r="D3" s="5" t="s">
        <v>493</v>
      </c>
      <c r="E3" s="5" t="s">
        <v>494</v>
      </c>
      <c r="F3" s="5" t="s">
        <v>495</v>
      </c>
    </row>
    <row r="4" customFormat="false" ht="15" hidden="false" customHeight="false" outlineLevel="0" collapsed="false">
      <c r="A4" s="3" t="s">
        <v>541</v>
      </c>
      <c r="B4" s="3" t="n">
        <f aca="false">Nigeria!$D$66</f>
        <v>2.25</v>
      </c>
      <c r="C4" s="3" t="n">
        <f aca="false">Nigeria!$F$66</f>
        <v>5</v>
      </c>
      <c r="D4" s="3" t="n">
        <f aca="false">Nigeria!$G$66</f>
        <v>5</v>
      </c>
      <c r="E4" s="3" t="n">
        <f aca="false">Nigeria!$H$66</f>
        <v>0</v>
      </c>
      <c r="F4" s="3" t="n">
        <f aca="false">Nigeria!$I$66</f>
        <v>0</v>
      </c>
    </row>
    <row r="5" customFormat="false" ht="15" hidden="false" customHeight="false" outlineLevel="0" collapsed="false">
      <c r="A5" s="3" t="s">
        <v>542</v>
      </c>
      <c r="B5" s="3" t="n">
        <f aca="false">Nigeria!$D$67</f>
        <v>2.83</v>
      </c>
      <c r="C5" s="3" t="n">
        <f aca="false">Nigeria!$F$67</f>
        <v>4</v>
      </c>
      <c r="D5" s="3" t="n">
        <f aca="false">Nigeria!$G$67</f>
        <v>2</v>
      </c>
      <c r="E5" s="3" t="n">
        <f aca="false">Nigeria!$H$67</f>
        <v>0</v>
      </c>
      <c r="F5" s="3" t="n">
        <f aca="false">Nigeria!$I$67</f>
        <v>0</v>
      </c>
    </row>
    <row r="6" customFormat="false" ht="15" hidden="false" customHeight="false" outlineLevel="0" collapsed="false">
      <c r="A6" s="3" t="s">
        <v>543</v>
      </c>
      <c r="B6" s="3" t="n">
        <f aca="false">Nigeria!$D$68</f>
        <v>2.57</v>
      </c>
      <c r="C6" s="3" t="n">
        <f aca="false">Nigeria!$F$68</f>
        <v>1</v>
      </c>
      <c r="D6" s="3" t="n">
        <f aca="false">Nigeria!$G$68</f>
        <v>7</v>
      </c>
      <c r="E6" s="3" t="n">
        <f aca="false">Nigeria!$H$68</f>
        <v>0</v>
      </c>
      <c r="F6" s="3" t="n">
        <f aca="false">Nigeria!$I$68</f>
        <v>0</v>
      </c>
    </row>
    <row r="7" customFormat="false" ht="15" hidden="false" customHeight="false" outlineLevel="0" collapsed="false">
      <c r="A7" s="3" t="s">
        <v>544</v>
      </c>
      <c r="B7" s="3" t="n">
        <f aca="false">Nigeria!$D$69</f>
        <v>2.88</v>
      </c>
      <c r="C7" s="3" t="n">
        <f aca="false">Nigeria!$F$69</f>
        <v>3</v>
      </c>
      <c r="D7" s="3" t="n">
        <f aca="false">Nigeria!$G$69</f>
        <v>5</v>
      </c>
      <c r="E7" s="3" t="n">
        <f aca="false">Nigeria!$H$69</f>
        <v>0</v>
      </c>
      <c r="F7" s="3" t="n">
        <f aca="false">Nigeria!$I$69</f>
        <v>0</v>
      </c>
    </row>
    <row r="8" customFormat="false" ht="15" hidden="false" customHeight="false" outlineLevel="0" collapsed="false">
      <c r="A8" s="3" t="s">
        <v>545</v>
      </c>
      <c r="B8" s="3" t="n">
        <f aca="false">Nigeria!$D$70</f>
        <v>2.5</v>
      </c>
      <c r="C8" s="3" t="n">
        <f aca="false">Nigeria!$F$70</f>
        <v>2</v>
      </c>
      <c r="D8" s="3" t="n">
        <f aca="false">Nigeria!$G$70</f>
        <v>4</v>
      </c>
      <c r="E8" s="3" t="n">
        <f aca="false">Nigeria!$H$70</f>
        <v>0</v>
      </c>
      <c r="F8" s="3" t="n">
        <f aca="false">Nigeria!$I$70</f>
        <v>1</v>
      </c>
    </row>
    <row r="9" customFormat="false" ht="15" hidden="false" customHeight="false" outlineLevel="0" collapsed="false">
      <c r="A9" s="3" t="s">
        <v>546</v>
      </c>
      <c r="B9" s="3" t="n">
        <f aca="false">Nigeria!$D$71</f>
        <v>2.56</v>
      </c>
      <c r="C9" s="3" t="n">
        <f aca="false">Nigeria!$F$71</f>
        <v>1</v>
      </c>
      <c r="D9" s="3" t="n">
        <f aca="false">Nigeria!$G$71</f>
        <v>8</v>
      </c>
      <c r="E9" s="3" t="n">
        <f aca="false">Nigeria!$H$71</f>
        <v>1</v>
      </c>
      <c r="F9" s="3" t="n">
        <f aca="false">Nigeria!$I$71</f>
        <v>1</v>
      </c>
    </row>
    <row r="10" customFormat="false" ht="15" hidden="false" customHeight="false" outlineLevel="0" collapsed="false">
      <c r="A10" s="3" t="s">
        <v>547</v>
      </c>
      <c r="B10" s="3" t="n">
        <f aca="false">Nigeria!$D$72</f>
        <v>3.25</v>
      </c>
      <c r="C10" s="3" t="n">
        <f aca="false">Nigeria!$F$72</f>
        <v>3</v>
      </c>
      <c r="D10" s="3" t="n">
        <f aca="false">Nigeria!$G$72</f>
        <v>2</v>
      </c>
      <c r="E10" s="3" t="n">
        <f aca="false">Nigeria!$H$72</f>
        <v>0</v>
      </c>
      <c r="F10" s="3" t="n">
        <f aca="false">Nigeria!$I$72</f>
        <v>2</v>
      </c>
    </row>
    <row r="12" customFormat="false" ht="15" hidden="false" customHeight="false" outlineLevel="0" collapsed="false">
      <c r="A12" s="5" t="s">
        <v>116</v>
      </c>
      <c r="B12" s="5" t="s">
        <v>490</v>
      </c>
    </row>
    <row r="13" customFormat="false" ht="15" hidden="false" customHeight="false" outlineLevel="0" collapsed="false">
      <c r="A13" s="3" t="s">
        <v>141</v>
      </c>
      <c r="B13" s="3" t="n">
        <f aca="false">Nigeria!$B$76</f>
        <v>2.5</v>
      </c>
    </row>
    <row r="14" customFormat="false" ht="15" hidden="false" customHeight="false" outlineLevel="0" collapsed="false">
      <c r="A14" s="3" t="s">
        <v>235</v>
      </c>
      <c r="B14" s="3" t="n">
        <f aca="false">Nigeria!$B$77</f>
        <v>2.62</v>
      </c>
    </row>
    <row r="15" customFormat="false" ht="15" hidden="false" customHeight="false" outlineLevel="0" collapsed="false">
      <c r="A15" s="3" t="s">
        <v>388</v>
      </c>
      <c r="B15" s="3" t="n">
        <f aca="false">Nigeria!$B$78</f>
        <v>2.71</v>
      </c>
    </row>
    <row r="16" customFormat="false" ht="15" hidden="false" customHeight="false" outlineLevel="0" collapsed="false">
      <c r="A16" s="3" t="s">
        <v>450</v>
      </c>
      <c r="B16" s="3" t="n">
        <f aca="false">Nigeria!$B$79</f>
        <v>3.25</v>
      </c>
    </row>
    <row r="18" customFormat="false" ht="15" hidden="false" customHeight="false" outlineLevel="0" collapsed="false">
      <c r="A18" s="5" t="s">
        <v>69</v>
      </c>
      <c r="B18" s="5" t="s">
        <v>548</v>
      </c>
    </row>
    <row r="19" customFormat="false" ht="15" hidden="false" customHeight="false" outlineLevel="0" collapsed="false">
      <c r="A19" s="3" t="s">
        <v>549</v>
      </c>
      <c r="B19" s="3" t="n">
        <f aca="false">COUNTIF(Nigeria!$T$5:$T$61,1)</f>
        <v>8</v>
      </c>
    </row>
    <row r="20" customFormat="false" ht="15" hidden="false" customHeight="false" outlineLevel="0" collapsed="false">
      <c r="A20" s="3" t="s">
        <v>550</v>
      </c>
      <c r="B20" s="3" t="n">
        <f aca="false">COUNTIF(Nigeria!$T$5:$T$61,2)</f>
        <v>9</v>
      </c>
    </row>
    <row r="21" customFormat="false" ht="15" hidden="false" customHeight="false" outlineLevel="0" collapsed="false">
      <c r="A21" s="3" t="s">
        <v>551</v>
      </c>
      <c r="B21" s="3" t="n">
        <f aca="false">COUNTIF(Nigeria!$T$5:$T$61,3)</f>
        <v>21</v>
      </c>
    </row>
    <row r="22" customFormat="false" ht="15" hidden="false" customHeight="false" outlineLevel="0" collapsed="false">
      <c r="A22" s="3" t="s">
        <v>552</v>
      </c>
      <c r="B22" s="3" t="n">
        <f aca="false">COUNTIF(Nigeria!$T$5:$T$61,4)</f>
        <v>7</v>
      </c>
    </row>
    <row r="23" customFormat="false" ht="15" hidden="false" customHeight="false" outlineLevel="0" collapsed="false">
      <c r="A23" s="3" t="s">
        <v>553</v>
      </c>
      <c r="B23" s="3" t="n">
        <f aca="false">COUNTIF(Nigeria!$T$5:$T$61,5)</f>
        <v>1</v>
      </c>
    </row>
    <row r="25" customFormat="false" ht="15" hidden="false" customHeight="false" outlineLevel="0" collapsed="false">
      <c r="A25" s="5" t="s">
        <v>127</v>
      </c>
      <c r="B25" s="5" t="s">
        <v>554</v>
      </c>
    </row>
    <row r="26" customFormat="false" ht="15" hidden="false" customHeight="false" outlineLevel="0" collapsed="false">
      <c r="A26" s="3" t="s">
        <v>555</v>
      </c>
      <c r="B26" s="3" t="n">
        <f aca="false">SUMPRODUCT((Nigeria!$Q$5:$Q$61=2011)*(Nigeria!$S$5:$S$61&lt;&gt;"Gap"))</f>
        <v>1</v>
      </c>
    </row>
    <row r="27" customFormat="false" ht="15" hidden="false" customHeight="false" outlineLevel="0" collapsed="false">
      <c r="A27" s="3" t="s">
        <v>556</v>
      </c>
      <c r="B27" s="3" t="n">
        <f aca="false">SUMPRODUCT((Nigeria!$Q$5:$Q$61=2013)*(Nigeria!$S$5:$S$61&lt;&gt;"Gap"))</f>
        <v>2</v>
      </c>
    </row>
    <row r="28" customFormat="false" ht="15" hidden="false" customHeight="false" outlineLevel="0" collapsed="false">
      <c r="A28" s="3" t="s">
        <v>557</v>
      </c>
      <c r="B28" s="3" t="n">
        <f aca="false">SUMPRODUCT((Nigeria!$Q$5:$Q$61=2017)*(Nigeria!$S$5:$S$61&lt;&gt;"Gap"))</f>
        <v>0</v>
      </c>
    </row>
    <row r="29" customFormat="false" ht="15" hidden="false" customHeight="false" outlineLevel="0" collapsed="false">
      <c r="A29" s="3" t="s">
        <v>558</v>
      </c>
      <c r="B29" s="3" t="n">
        <f aca="false">SUMPRODUCT((Nigeria!$Q$5:$Q$61=2019)*(Nigeria!$S$5:$S$61&lt;&gt;"Gap"))</f>
        <v>2</v>
      </c>
    </row>
    <row r="30" customFormat="false" ht="15" hidden="false" customHeight="false" outlineLevel="0" collapsed="false">
      <c r="A30" s="3" t="s">
        <v>559</v>
      </c>
      <c r="B30" s="3" t="n">
        <f aca="false">SUMPRODUCT((Nigeria!$Q$5:$Q$61=2021)*(Nigeria!$S$5:$S$61&lt;&gt;"Gap"))</f>
        <v>2</v>
      </c>
    </row>
    <row r="31" customFormat="false" ht="15" hidden="false" customHeight="false" outlineLevel="0" collapsed="false">
      <c r="A31" s="3" t="s">
        <v>560</v>
      </c>
      <c r="B31" s="3" t="n">
        <f aca="false">SUMPRODUCT((Nigeria!$Q$5:$Q$61=2022)*(Nigeria!$S$5:$S$61&lt;&gt;"Gap"))</f>
        <v>4</v>
      </c>
    </row>
    <row r="32" customFormat="false" ht="15" hidden="false" customHeight="false" outlineLevel="0" collapsed="false">
      <c r="A32" s="3" t="s">
        <v>561</v>
      </c>
      <c r="B32" s="3" t="n">
        <f aca="false">SUMPRODUCT((Nigeria!$Q$5:$Q$61=2023)*(Nigeria!$S$5:$S$61&lt;&gt;"Gap"))</f>
        <v>1</v>
      </c>
    </row>
    <row r="33" customFormat="false" ht="15" hidden="false" customHeight="false" outlineLevel="0" collapsed="false">
      <c r="A33" s="3" t="s">
        <v>562</v>
      </c>
      <c r="B33" s="3" t="n">
        <f aca="false">SUMPRODUCT((Nigeria!$Q$5:$Q$61=2024)*(Nigeria!$S$5:$S$61&lt;&gt;"Gap"))</f>
        <v>18</v>
      </c>
    </row>
    <row r="34" customFormat="false" ht="15" hidden="false" customHeight="false" outlineLevel="0" collapsed="false">
      <c r="A34" s="3" t="s">
        <v>563</v>
      </c>
      <c r="B34" s="3" t="n">
        <f aca="false">SUMPRODUCT((Nigeria!$Q$5:$Q$61=2025)*(Nigeria!$S$5:$S$61&lt;&gt;"Gap"))</f>
        <v>9</v>
      </c>
    </row>
    <row r="35" customFormat="false" ht="15" hidden="false" customHeight="false" outlineLevel="0" collapsed="false">
      <c r="A35" s="3" t="s">
        <v>564</v>
      </c>
      <c r="B35" s="3" t="n">
        <f aca="false">SUMPRODUCT((Nigeria!$Q$5:$Q$61=2026)*(Nigeria!$S$5:$S$61&lt;&gt;"Gap"))</f>
        <v>14</v>
      </c>
    </row>
    <row r="37" customFormat="false" ht="15" hidden="false" customHeight="false" outlineLevel="0" collapsed="false">
      <c r="A37" s="2" t="s">
        <v>565</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2026-08-23T22:19:55Z</dcterms:created>
  <dc:creator>openpyxl</dc:creator>
  <dc:description/>
  <dc:language>en-US</dc:language>
  <cp:lastModifiedBy/>
  <dcterms:modified xsi:type="dcterms:W3CDTF">2026-08-24T05:20:01Z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