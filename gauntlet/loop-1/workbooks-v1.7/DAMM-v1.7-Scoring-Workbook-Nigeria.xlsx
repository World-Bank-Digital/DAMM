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chart3.xml" ContentType="application/vnd.openxmlformats-officedocument.drawingml.chart+xml"/>
  <Override PartName="/xl/charts/chart1.xml" ContentType="application/vnd.openxmlformats-officedocument.drawingml.chart+xml"/>
  <Override PartName="/xl/charts/colors1.xml" ContentType="application/vnd.ms-office.chartcolorstyle+xml"/>
  <Override PartName="/xl/charts/chart6.xml" ContentType="application/vnd.openxmlformats-officedocument.drawingml.chart+xml"/>
  <Override PartName="/xl/charts/chart2.xml" ContentType="application/vnd.openxmlformats-officedocument.drawingml.chart+xml"/>
  <Override PartName="/xl/charts/style2.xml" ContentType="application/vnd.ms-office.chartstyle+xml"/>
  <Override PartName="/xl/charts/chart5.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style4.xml" ContentType="application/vnd.ms-office.chartstyle+xml"/>
  <Override PartName="/xl/charts/colors4.xml" ContentType="application/vnd.ms-office.chartcolorstyle+xml"/>
  <Override PartName="/xl/charts/style5.xml" ContentType="application/vnd.ms-office.chartstyle+xml"/>
  <Override PartName="/xl/charts/colors2.xml" ContentType="application/vnd.ms-office.chartcolorstyle+xml"/>
  <Override PartName="/xl/charts/colors5.xml" ContentType="application/vnd.ms-office.chartcolorstyle+xml"/>
  <Override PartName="/xl/charts/colors3.xml" ContentType="application/vnd.ms-office.chartcolorstyle+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onfig" sheetId="2" state="visible" r:id="rId4"/>
    <sheet name="Ladder" sheetId="3" state="visible" r:id="rId5"/>
    <sheet name="Tiers" sheetId="4" state="visible" r:id="rId6"/>
    <sheet name="Nigeria" sheetId="5" state="visible" r:id="rId7"/>
    <sheet name="Issues" sheetId="6" state="visible" r:id="rId8"/>
    <sheet name="Visuals" sheetId="7" state="visible" r:id="rId9"/>
  </sheets>
  <definedNames>
    <definedName function="false" hidden="false" localSheetId="1" name="_xlnm.Print_Area" vbProcedure="false">Config!$B$1:$D$13</definedName>
    <definedName function="false" hidden="false" localSheetId="5" name="_xlnm.Print_Area" vbProcedure="false">Issues!$B$1:$I$44</definedName>
    <definedName function="false" hidden="false" localSheetId="5" name="_xlnm.Print_Titles" vbProcedure="false">Issues!$4:$4</definedName>
    <definedName function="false" hidden="false" localSheetId="2" name="_xlnm.Print_Area" vbProcedure="false">Ladder!$B$1:$D$11</definedName>
    <definedName function="false" hidden="false" localSheetId="4" name="_xlnm.Print_Area" vbProcedure="false">Nigeria!$A$1:$U$107</definedName>
    <definedName function="false" hidden="false" localSheetId="4" name="_xlnm.Print_Titles" vbProcedure="false">Nigeria!$4:$4</definedName>
    <definedName function="false" hidden="false" localSheetId="0" name="_xlnm.Print_Area" vbProcedure="false">'Read Me'!$B$1:$H$32</definedName>
    <definedName function="false" hidden="false" localSheetId="3" name="_xlnm.Print_Area" vbProcedure="false">Tiers!$B$1:$E$14</definedName>
    <definedName function="false" hidden="false" localSheetId="6" name="_xlnm.Print_Area" vbProcedure="false">Visuals!$A$1:$AB$56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<sst xmlns="http://schemas.openxmlformats.org/spreadsheetml/2006/main" count="913" uniqueCount="566">
  <si>
    <t xml:space="preserve">DAMM v1.7 — Scoring Workbook</t>
  </si>
  <si>
    <t xml:space="preserve">Digital Agriculture Maturity Model · draft for review · August 2026</t>
  </si>
  <si>
    <t xml:space="preserve">This file is the Nigeria worked example, compiled 22 August 2026.</t>
  </si>
  <si>
    <t xml:space="preserve">The four steps</t>
  </si>
  <si>
    <t xml:space="preserve">1 · ASSEMBLE</t>
  </si>
  <si>
    <t xml:space="preserve">Fill the six yellow columns on the scoring sheet: Value, Source, Source URL, Tier, Year, Assessor level. Every indicator gets a value, a source and a year — or a recorded gap. No level may exist without a recorded value.</t>
  </si>
  <si>
    <t xml:space="preserve">2 · DERIVE</t>
  </si>
  <si>
    <t xml:space="preserve">Automatic. Evidence class, level, staleness, pillar bands, the layer profile, prerequisite status and the use-case matrix all compute by formula. Nothing here is typed.</t>
  </si>
  <si>
    <t xml:space="preserve">3 · REPORT</t>
  </si>
  <si>
    <t xml:space="preserve">The diagnostic report renders from this workbook. It is the deliverable; this file is the instrument behind it.</t>
  </si>
  <si>
    <t xml:space="preserve">4 · USE</t>
  </si>
  <si>
    <t xml:space="preserve">The task team leader takes the report into roadmap preparation, closes the verify list on mission, and executes the refresh list.</t>
  </si>
  <si>
    <t xml:space="preserve">What to type, and where</t>
  </si>
  <si>
    <t xml:space="preserve">Yellow cells, blue text</t>
  </si>
  <si>
    <t xml:space="preserve">The only cells an assessor edits: Value, Source, Source URL, Tier, Year, Assessor level (columns M–R of the scoring sheet).</t>
  </si>
  <si>
    <t xml:space="preserve">Everything else</t>
  </si>
  <si>
    <t xml:space="preserve">Model reference or derived by formula. Do not overwrite: a typed level that contradicts its value is the defect this model exists to prevent.</t>
  </si>
  <si>
    <t xml:space="preserve">Value</t>
  </si>
  <si>
    <t xml:space="preserve">A number, a citation ("NDPA 2023 in force; NDPC enforcing"), or a recorded gap beginning DATA GAP — followed by the sources actually searched.</t>
  </si>
  <si>
    <t xml:space="preserve">Tier</t>
  </si>
  <si>
    <t xml:space="preserve">T1–T5 per the Tiers sheet. Reported, never weighted. Machine-fetched rows arrive with the tier already filled by the pipeline.</t>
  </si>
  <si>
    <t xml:space="preserve">Assessor level</t>
  </si>
  <si>
    <t xml:space="preserve">1–5, for ladder indicators only. Threshold indicators score themselves from the value.</t>
  </si>
  <si>
    <t xml:space="preserve">Quality control — gate sign-off</t>
  </si>
  <si>
    <t xml:space="preserve">Automated checks run at render time and block the report on failure. The three human gates are recorded here (QC Protocol).</t>
  </si>
  <si>
    <t xml:space="preserve">Gate</t>
  </si>
  <si>
    <t xml:space="preserve">What it certifies</t>
  </si>
  <si>
    <t xml:space="preserve">Name</t>
  </si>
  <si>
    <t xml:space="preserve">Date</t>
  </si>
  <si>
    <t xml:space="preserve">Note</t>
  </si>
  <si>
    <t xml:space="preserve">G1</t>
  </si>
  <si>
    <t xml:space="preserve">Assessor has confirmed every machine-filled row: value, source, year, tier; every recorded gap accepted or re-searched.</t>
  </si>
  <si>
    <t xml:space="preserve">G2</t>
  </si>
  <si>
    <t xml:space="preserve">A second reviewer has re-checked 100% of prerequisite rows and 100% of judged rows, plus a 15% sample of the remainder.</t>
  </si>
  <si>
    <t xml:space="preserve">G3</t>
  </si>
  <si>
    <t xml:space="preserve">Task team leader sign-off against the four prohibitions, before anything leaves the team.</t>
  </si>
  <si>
    <t xml:space="preserve">The four prohibitions</t>
  </si>
  <si>
    <t xml:space="preserve">· No cross-country ranking.</t>
  </si>
  <si>
    <t xml:space="preserve">· No band used as a project development objective, disbursement-linked indicator, or disbursement condition.</t>
  </si>
  <si>
    <t xml:space="preserve">· No automatic financing decisions.</t>
  </si>
  <si>
    <t xml:space="preserve">· No public claim before human review.</t>
  </si>
  <si>
    <t xml:space="preserve">Config — every constant with its meaning</t>
  </si>
  <si>
    <t xml:space="preserve">Assessment year</t>
  </si>
  <si>
    <t xml:space="preserve">ENTRY (yellow). Staleness is measured against this year.</t>
  </si>
  <si>
    <t xml:space="preserve">Staleness limit (years)</t>
  </si>
  <si>
    <t xml:space="preserve">A reading older than this is flagged STALE. One rule for all indicators.</t>
  </si>
  <si>
    <t xml:space="preserve">Readiness threshold</t>
  </si>
  <si>
    <t xml:space="preserve">A use-case column whose bearing indicators average below this reads Partial. Set to the Established band's lower edge.</t>
  </si>
  <si>
    <t xml:space="preserve">Leapfrog threshold</t>
  </si>
  <si>
    <t xml:space="preserve">|mean(Foundation) − mean(Transformation)| above this raises a structural flag.</t>
  </si>
  <si>
    <t xml:space="preserve">Band: Nascent</t>
  </si>
  <si>
    <t xml:space="preserve">1.0 – &lt;1.5</t>
  </si>
  <si>
    <t xml:space="preserve">Half-open bands; a pillar band in parentheses means judged, gap and held rows outnumber the levelled measured and documented ones.</t>
  </si>
  <si>
    <t xml:space="preserve">Band: Emerging</t>
  </si>
  <si>
    <t xml:space="preserve">1.5 – &lt;2.5</t>
  </si>
  <si>
    <t xml:space="preserve">Band: Established</t>
  </si>
  <si>
    <t xml:space="preserve">2.5 – &lt;3.5</t>
  </si>
  <si>
    <t xml:space="preserve">Band: Advanced</t>
  </si>
  <si>
    <t xml:space="preserve">3.5 – &lt;4.5</t>
  </si>
  <si>
    <t xml:space="preserve">Band: Transformative</t>
  </si>
  <si>
    <t xml:space="preserve">4.5 – 5.0</t>
  </si>
  <si>
    <t xml:space="preserve">Universal prerequisites</t>
  </si>
  <si>
    <t xml:space="preserve">2.1, 2.9, 4.1</t>
  </si>
  <si>
    <t xml:space="preserve">Absence blocks every use-case column. A universal prerequisite at Present (narrow) caps every column at Partial.</t>
  </si>
  <si>
    <t xml:space="preserve">AI-enabled services</t>
  </si>
  <si>
    <t xml:space="preserve">7.12 binds AGI</t>
  </si>
  <si>
    <t xml:space="preserve">Ruling pending ratification: the consent-and-rights prerequisite binds the agricultural-intelligence column.</t>
  </si>
  <si>
    <t xml:space="preserve">The shared ladder — scoring an indicator that is not a measurement</t>
  </si>
  <si>
    <t xml:space="preserve">Ask in stages: presence first, then quality, then scale. Stop at the first rung the evidence does not support.</t>
  </si>
  <si>
    <t xml:space="preserve">Level</t>
  </si>
  <si>
    <t xml:space="preserve">Condition</t>
  </si>
  <si>
    <t xml:space="preserve">Evidence required</t>
  </si>
  <si>
    <t xml:space="preserve">Absent</t>
  </si>
  <si>
    <t xml:space="preserve">The search that established absence: sources consulted, in order.</t>
  </si>
  <si>
    <t xml:space="preserve">Announced</t>
  </si>
  <si>
    <t xml:space="preserve">The announcement, draft or commitment, cited.</t>
  </si>
  <si>
    <t xml:space="preserve">Adopted, or operating narrowly</t>
  </si>
  <si>
    <t xml:space="preserve">The instrument or system itself, with its adoption date or its operating footprint.</t>
  </si>
  <si>
    <t xml:space="preserve">Operating with quality</t>
  </si>
  <si>
    <t xml:space="preserve">Governance, funding and institutionalisation — the evidence that it is run, not just live.</t>
  </si>
  <si>
    <t xml:space="preserve">Operating at scale, with evidence of use</t>
  </si>
  <si>
    <t xml:space="preserve">Coverage or reach in the indicator's own unit, from a source that is not the operator's own claim.</t>
  </si>
  <si>
    <t xml:space="preserve">A scale figure reported only by the operator of the service does not carry rung 5.</t>
  </si>
  <si>
    <t xml:space="preserve">Source tiers — what may carry what</t>
  </si>
  <si>
    <t xml:space="preserve">Tiers are reported beside the evidence class and never weighted. Search in tier order and stop when found; a dead end is recorded as a gap with its trail.</t>
  </si>
  <si>
    <t xml:space="preserve">What it is</t>
  </si>
  <si>
    <t xml:space="preserve">Typical sources</t>
  </si>
  <si>
    <t xml:space="preserve">Admissible for</t>
  </si>
  <si>
    <t xml:space="preserve">T1</t>
  </si>
  <si>
    <t xml:space="preserve">Official statistics &amp; international databases</t>
  </si>
  <si>
    <t xml:space="preserve">FAOSTAT · AQUASTAT · World Bank WDI/ID4D/Findex · ITU · UN DESA · national statistical offices</t>
  </si>
  <si>
    <t xml:space="preserve">Any claim. The default for every number.</t>
  </si>
  <si>
    <t xml:space="preserve">T2</t>
  </si>
  <si>
    <t xml:space="preserve">Peer-reviewed literature &amp; IO flagship reports</t>
  </si>
  <si>
    <t xml:space="preserve">Journals · systematic reviews · World Bank / FAO / IFPRI / CGIAR flagships · evaluated impact studies</t>
  </si>
  <si>
    <t xml:space="preserve">Any claim. Required for impact and effectiveness claims.</t>
  </si>
  <si>
    <t xml:space="preserve">T3</t>
  </si>
  <si>
    <t xml:space="preserve">Government legal, policy &amp; budget artefacts</t>
  </si>
  <si>
    <t xml:space="preserve">Gazetted laws · adopted strategies · budgets · regulator reports · official programme pages</t>
  </si>
  <si>
    <t xml:space="preserve">Presence facts, policy intent, programme design — not outcomes.</t>
  </si>
  <si>
    <t xml:space="preserve">T4</t>
  </si>
  <si>
    <t xml:space="preserve">Reputable grey literature</t>
  </si>
  <si>
    <t xml:space="preserve">GSMA · GIZ · USAID · AGRA · AfDB · donor evaluations · established industry analyses</t>
  </si>
  <si>
    <t xml:space="preserve">Context and sector narrative, flagged as T4; presence facts where T3 is silent.</t>
  </si>
  <si>
    <t xml:space="preserve">T5</t>
  </si>
  <si>
    <t xml:space="preserve">News, vendor &amp; market material</t>
  </si>
  <si>
    <t xml:space="preserve">Press · company sites · market-research releases · blogs</t>
  </si>
  <si>
    <t xml:space="preserve">Initiative register only, existence facts only. A T5-only citation derives the class Judged, never Documented.</t>
  </si>
  <si>
    <t xml:space="preserve">· Every citation is a deep link to the document, with an access date. A link that resolves only to a domain root is not a citation.</t>
  </si>
  <si>
    <t xml:space="preserve">· A load-bearing number needs two independent T1–T2 confirmations, or it ships flagged single-source.</t>
  </si>
  <si>
    <t xml:space="preserve">· Vintage beats tier at the margin for narrative; the scored row still records the official figure and its staleness honestly.</t>
  </si>
  <si>
    <t xml:space="preserve">Nigeria — DAMM v1.7 assessment</t>
  </si>
  <si>
    <t xml:space="preserve">Edit only the yellow columns (M–R). Everything else is model reference or derived by formula.</t>
  </si>
  <si>
    <t xml:space="preserve">ID</t>
  </si>
  <si>
    <t xml:space="preserve">Indicator</t>
  </si>
  <si>
    <t xml:space="preserve">Pillar</t>
  </si>
  <si>
    <t xml:space="preserve">Layer</t>
  </si>
  <si>
    <t xml:space="preserve">Use cases</t>
  </si>
  <si>
    <t xml:space="preserve">Prereq</t>
  </si>
  <si>
    <t xml:space="preserve">Meth</t>
  </si>
  <si>
    <t xml:space="preserve">Dir</t>
  </si>
  <si>
    <t xml:space="preserve">L2</t>
  </si>
  <si>
    <t xml:space="preserve">L3</t>
  </si>
  <si>
    <t xml:space="preserve">L4</t>
  </si>
  <si>
    <t xml:space="preserve">L5</t>
  </si>
  <si>
    <t xml:space="preserve">Source</t>
  </si>
  <si>
    <t xml:space="preserve">Source URL</t>
  </si>
  <si>
    <t xml:space="preserve">Year</t>
  </si>
  <si>
    <t xml:space="preserve">Class</t>
  </si>
  <si>
    <t xml:space="preserve">Stale</t>
  </si>
  <si>
    <t xml:space="preserve">b_ADV</t>
  </si>
  <si>
    <t xml:space="preserve">b_SMF</t>
  </si>
  <si>
    <t xml:space="preserve">b_MKT</t>
  </si>
  <si>
    <t xml:space="preserve">b_SCM</t>
  </si>
  <si>
    <t xml:space="preserve">b_FIN</t>
  </si>
  <si>
    <t xml:space="preserve">b_AGI</t>
  </si>
  <si>
    <t xml:space="preserve">Open definition question (for ratification)</t>
  </si>
  <si>
    <t xml:space="preserve">Ratification hold</t>
  </si>
  <si>
    <t xml:space="preserve">1.1</t>
  </si>
  <si>
    <t xml:space="preserve">Agriculture value added per worker (USD)</t>
  </si>
  <si>
    <t xml:space="preserve">A1</t>
  </si>
  <si>
    <t xml:space="preserve">Foundation</t>
  </si>
  <si>
    <t xml:space="preserve">NEED</t>
  </si>
  <si>
    <t xml:space="preserve">T</t>
  </si>
  <si>
    <t xml:space="preserve">H</t>
  </si>
  <si>
    <t xml:space="preserve">World Bank WDI NV.AGR.EMPL.KD</t>
  </si>
  <si>
    <t xml:space="preserve">https://api.worldbank.org/v2/country/NGA/indicator/NV.AGR.EMPL.KD?format=json&amp;mrnev=1&amp;per_page=5</t>
  </si>
  <si>
    <t xml:space="preserve">The name says "Agriculture... (USD)" but both countries record WDI NV.AGR.EMPL.KD, which covers agriculture, forestry AND fishing and is denominated in constant 2015 US$ — neither the sector scope nor the price basis is stated in the name or in the bare-USD thresholds, and neither row carries…</t>
  </si>
  <si>
    <t xml:space="preserve">1.2</t>
  </si>
  <si>
    <t xml:space="preserve">Cereal yield (kg/ha)</t>
  </si>
  <si>
    <t xml:space="preserve">World Bank WDI AG.YLD.CREL.KG</t>
  </si>
  <si>
    <t xml:space="preserve">https://api.worldbank.org/v2/country/NGA/indicator/AG.YLD.CREL.KG?format=json&amp;mrnev=1&amp;per_page=5</t>
  </si>
  <si>
    <t xml:space="preserve">1.3</t>
  </si>
  <si>
    <t xml:space="preserve">Employment in agriculture (%)</t>
  </si>
  <si>
    <t xml:space="preserve">L</t>
  </si>
  <si>
    <t xml:space="preserve">World Bank WDI SL.AGR.EMPL.ZS (ILO modeled estimate)</t>
  </si>
  <si>
    <t xml:space="preserve">https://api.worldbank.org/v2/country/NGA/indicator/SL.AGR.EMPL.ZS?format=json&amp;mrnev=1&amp;per_page=5</t>
  </si>
  <si>
    <t xml:space="preserve">The name omits the denominator (% of total employment), the recorded series covers ISIC-A (agriculture, hunting, forestry and fishing) rather than agriculture alone, and both rows carry an ILO MODELLED 2025 nowcast under cls "Measured" — the register's highest evidence class — which the…</t>
  </si>
  <si>
    <t xml:space="preserve">1.4</t>
  </si>
  <si>
    <t xml:space="preserve">Food production index (2014-16=100)</t>
  </si>
  <si>
    <t xml:space="preserve">World Bank WDI AG.PRD.FOOD.XD</t>
  </si>
  <si>
    <t xml:space="preserve">https://api.worldbank.org/v2/country/NGA/indicator/AG.PRD.FOOD.XD?format=json&amp;mrnev=1&amp;per_page=5</t>
  </si>
  <si>
    <t xml:space="preserve">1.5</t>
  </si>
  <si>
    <t xml:space="preserve">Post-harvest loss rate (%)</t>
  </si>
  <si>
    <t xml:space="preserve">Cereals only, APHLIS dry-weight postharvest loss estimates 2022 (cumulative harvest, drying, handling, storage, transport, market): maize 17.4%, sorghum 12.3%, rice 11.7%, millet 9.5% (range 9.5-17.4%). No all-crop natio</t>
  </si>
  <si>
    <t xml:space="preserve">APHLIS - Postharvest losses in Nigeria 2022, dry weight losses (%)</t>
  </si>
  <si>
    <t xml:space="preserve">https://www.aphlis.net/en/data/tables/dry-weight-losses/NG/all-crops/2022?metric=prc</t>
  </si>
  <si>
    <t xml:space="preserve">The name asserts an all-crop national post-harvest loss rate; both countries record cereals-only figures, and Egypt's scored figure is described by its own source as covering pre- AND post-harvest losses.</t>
  </si>
  <si>
    <t xml:space="preserve">1.6</t>
  </si>
  <si>
    <t xml:space="preserve">Smallholder access to formal markets (%)</t>
  </si>
  <si>
    <t xml:space="preserve">NEED,MKT</t>
  </si>
  <si>
    <t xml:space="preserve">No national 'formal market access' share exists. FAO Smallholder Data Portrait (LSMS-ISA 2012/13): 100% of crop-selling smallholder households sold through informal channels (formal-channel participation ~0%); 94% sold i</t>
  </si>
  <si>
    <t xml:space="preserve">FAO Small Family Farms Country Factsheet - Nigeria (Smallholder Data Portrait, LSMS survey 2013), FAO 2018, I9930EN</t>
  </si>
  <si>
    <t xml:space="preserve">https://openknowledge.fao.org/server/api/core/bitstreams/8ce31a78-2848-4388-87a9-a3b1abb73e40/content</t>
  </si>
  <si>
    <t xml:space="preserve">The name asserts national smallholder ACCESS to formal markets; Egypt records a regional contract-farming PARTICIPATION rate from seven governorates and Nigeria a 2012/13 channel-of-sale share — two different constructs, neither of which is access, and neither national in Egypt's case.</t>
  </si>
  <si>
    <t xml:space="preserve">1.7</t>
  </si>
  <si>
    <t xml:space="preserve">Agricultural credit access (% farmers)</t>
  </si>
  <si>
    <t xml:space="preserve">NEED,FIN</t>
  </si>
  <si>
    <t xml:space="preserve">7% of smallholder households were credit beneficiaries (FAO Smallholder Data Portrait, LSMS-ISA 2012/13; 'other farms' 6%). Fresher national survey (EFInA A2F 2023): ~2% of farmers borrowed from formal providers in the p</t>
  </si>
  <si>
    <t xml:space="preserve">The name asserts a share of FARMERS with credit ACCESS; Egypt records rural adults aged 15+ (a population that includes non-farmers) and Nigeria records smallholder households, and both measure borrowing/use rather than access.</t>
  </si>
  <si>
    <t xml:space="preserve">1.8</t>
  </si>
  <si>
    <t xml:space="preserve">Farmers using climate-smart practices (%)</t>
  </si>
  <si>
    <t xml:space="preserve">NEED,ADV</t>
  </si>
  <si>
    <t xml:space="preserve">No national estimate. Regional T2 evidence: survey of smallholder farmers in Nigeria's North Central and Northwest zones (CABI Agriculture and Bioscience, Sept 2023; fieldwork 2022) - 87.2% had adopted at least one clima</t>
  </si>
  <si>
    <t xml:space="preserve">State of climate smart agriculture (CSA) practices in the North Central and Northwest zones Nigeria - CABI Agriculture and Bioscience (2023)</t>
  </si>
  <si>
    <t xml:space="preserve">https://doi.org/10.1186/s43170-023-00156-4</t>
  </si>
  <si>
    <t xml:space="preserve">The name counts FARMERS adopting climate-smart practices; Egypt records a share of WHEAT AREA under a single practice and Nigeria a share of farmers in two zones adopting at least one climate-resilient crop TRAIT — land, practice-basket and geographic scope all differ from the name.</t>
  </si>
  <si>
    <t xml:space="preserve">HOLD</t>
  </si>
  <si>
    <t xml:space="preserve">8.1</t>
  </si>
  <si>
    <t xml:space="preserve">Prevalence of undernourishment (%)</t>
  </si>
  <si>
    <t xml:space="preserve">World Bank WDI SN.ITK.DEFC.ZS</t>
  </si>
  <si>
    <t xml:space="preserve">https://api.worldbank.org/v2/country/NGA/indicator/SN.ITK.DEFC.ZS?format=json&amp;mrnev=1&amp;per_page=5</t>
  </si>
  <si>
    <t xml:space="preserve">8.5</t>
  </si>
  <si>
    <t xml:space="preserve">Women who own land (% holders)</t>
  </si>
  <si>
    <t xml:space="preserve">NEED,EQ</t>
  </si>
  <si>
    <t xml:space="preserve">SDG 5.a.1(b): women are 31.6% of owners or rights-bearers of agricultural land (Nigeria GHS-Panel Wave 4, 2018/19; earlier waves 24.0% in 2013, 23.4% in 2016). SDG 5.a.1(a): 23.5% of the female agricultural population ho</t>
  </si>
  <si>
    <t xml:space="preserve">UN SDG Global Database - indicator 5.a.1, Nigeria (series SP_GNP_WNOWNS and SP_LGL_LNDAGSEC; source: NBS General Household Survey Panel)</t>
  </si>
  <si>
    <t xml:space="preserve">https://unstats.un.org/sdgapi/v1/sdg/Indicator/Data?indicator=5.a.1&amp;areaCode=566</t>
  </si>
  <si>
    <t xml:space="preserve">⚠ The indicator name says women who OWN land while the canonical statistic counts women agricultural holders (operators), who may rent rather than own.</t>
  </si>
  <si>
    <t xml:space="preserve">2.1</t>
  </si>
  <si>
    <t xml:space="preserve">Rural mobile broadband coverage (3G/4G)</t>
  </si>
  <si>
    <t xml:space="preserve">C1</t>
  </si>
  <si>
    <t xml:space="preserve">ALL</t>
  </si>
  <si>
    <t xml:space="preserve">UNIVERSAL</t>
  </si>
  <si>
    <t xml:space="preserve">Rural 4G population coverage: 48% (2024, GSMA geospatial coverage modeling). National population coverage as at Dec 2024 (NCC Table 3): 2G 95.31%, 3G 89.42%, 4G LTE 84.60%, 5G 13.28%. A rural 3G-or-above figure is not p</t>
  </si>
  <si>
    <t xml:space="preserve">GSMA, Sub-Saharan Africa 2024 Year in Review (Jan 2025), p.9 — geospatial analysis: Nigeria 4G coverage 41% (2019) to 84% (2024), rural 48%</t>
  </si>
  <si>
    <t xml:space="preserve">https://www.gsma.com/about-us/regions/sub-saharan-africa/wp-content/uploads/2025/01/GSMA-Sub-Saharan-Africa-2024-Year-In-Review.pdf</t>
  </si>
  <si>
    <t xml:space="preserve">⚠ The name asserts RURAL coverage, but Egypt's row records the ITU national at-least-3G figure as a clean cls="Measured" number that scores level 5 mechanically, while Nigeria records a rural-but-4G-only modeled estimate — so the register's only universal connectivity prerequisite carries a…</t>
  </si>
  <si>
    <t xml:space="preserve">2.4</t>
  </si>
  <si>
    <t xml:space="preserve">Individuals using the Internet (%)</t>
  </si>
  <si>
    <t xml:space="preserve">World Bank WDI IT.NET.USER.ZS</t>
  </si>
  <si>
    <t xml:space="preserve">https://api.worldbank.org/v2/country/NGA/indicator/IT.NET.USER.ZS?format=json&amp;mrnev=1&amp;per_page=5</t>
  </si>
  <si>
    <t xml:space="preserve">2.5</t>
  </si>
  <si>
    <t xml:space="preserve">Mobile broadband price (% GNI pc)</t>
  </si>
  <si>
    <t xml:space="preserve">ITU DataHub — Data-only mobile broadband basket (2GB/month), Nigeria, % of GNI per capita, 2025 observation (price data collected 2025)</t>
  </si>
  <si>
    <t xml:space="preserve">https://datahub.itu.int/data/?e=NGA&amp;i=34617</t>
  </si>
  <si>
    <t xml:space="preserve">The name fixes neither the basket allowance (2GB vs ITU's 2025 headline 5GB), nor the basket type (data-only vs voice+data), nor whether "% GNI pc" is monthly or annual — and Egypt's value sits on a series ITU has retired to a legacy label while Nigeria's comes from the live headline series id,…</t>
  </si>
  <si>
    <t xml:space="preserve">2.7</t>
  </si>
  <si>
    <t xml:space="preserve">Rural smartphone ownership (%)</t>
  </si>
  <si>
    <t xml:space="preserve">NBS / World Bank LSMS, Nigeria General Household Survey–Panel Wave 5 (2023/24) Survey Report, Table 3.15 'Household Assets by place of residence' (p.102): smartphone — rural 28.9%, urban 57.1%, national 37.8% (share of households)</t>
  </si>
  <si>
    <t xml:space="preserve">https://www.nigerianstat.gov.ng/pdfuploads/GHS-Panel%20Wave%205%20-%20Survey%20Report.pdf</t>
  </si>
  <si>
    <t xml:space="preserve">"Ownership" of a personal device implies individuals; both countries record the share of rural HOUSEHOLDS owning at least one smartphone, which reads systematically higher than the individual measure.</t>
  </si>
  <si>
    <t xml:space="preserve">2.9</t>
  </si>
  <si>
    <t xml:space="preserve">Rural electricity access (%)</t>
  </si>
  <si>
    <t xml:space="preserve">World Bank WDI EG.ELC.ACCS.RU.ZS</t>
  </si>
  <si>
    <t xml:space="preserve">https://api.worldbank.org/v2/country/NGA/indicator/EG.ELC.ACCS.RU.ZS?format=json&amp;mrnev=1&amp;per_page=5</t>
  </si>
  <si>
    <t xml:space="preserve">2.11</t>
  </si>
  <si>
    <t xml:space="preserve">Device financing/subsidy schemes</t>
  </si>
  <si>
    <t xml:space="preserve">Device financing schemes EXIST and multiple are operating. (a) Telco-led/commercial (operating): MTN Nigeria + Intelligra BNPL smartphone financing (launched Oct 2022; 6–12-month instalments, bundled data/airtime); Globa</t>
  </si>
  <si>
    <t xml:space="preserve">CREDICORP (FGN) — C.L.I.C.K.D. programme page (official, undated; accessed 2026-08-22); GSMA, Accelerating Smartphone Adoption in Africa (Nov 2025), Nigeria chapter p.60</t>
  </si>
  <si>
    <t xml:space="preserve">https://credicorp.ng/clickd</t>
  </si>
  <si>
    <t xml:space="preserve">The ladder's name fixes neither a targeting test nor whether a subsidy is required, and the two countries applied opposite tests to the same class of evidence — commercial telco handset instalments — producing a two-rung divergence.</t>
  </si>
  <si>
    <t xml:space="preserve">3.1</t>
  </si>
  <si>
    <t xml:space="preserve">UN E-Government Development Index</t>
  </si>
  <si>
    <t xml:space="preserve">C2</t>
  </si>
  <si>
    <t xml:space="preserve">Enablers</t>
  </si>
  <si>
    <t xml:space="preserve">AGI,ALL</t>
  </si>
  <si>
    <t xml:space="preserve">UN E-Government Knowledgebase — Nigeria country profile (UN E-Government Survey 2024)</t>
  </si>
  <si>
    <t xml:space="preserve">https://publicadministration.un.org/egovkb/en-us/Data/Country-Information/id/125-Nigeria</t>
  </si>
  <si>
    <t xml:space="preserve">3.3</t>
  </si>
  <si>
    <t xml:space="preserve">National farmer registry</t>
  </si>
  <si>
    <t xml:space="preserve">FIN,AGI,ADV</t>
  </si>
  <si>
    <t xml:space="preserve">UC:FIN,AGI</t>
  </si>
  <si>
    <t xml:space="preserve">National Digital Farmers Registry: NIN-anchored FMAFS-NIMC farmer registry + G2P biometric card project launched 16 Jan 2025; National Stakeholder Workshop on registry best practices / farmer-data harmonisation held 20 N</t>
  </si>
  <si>
    <t xml:space="preserve">NIMC press release: FMAFS/NIMC NIN-Enabled Farmer Registry &amp; G2P Card Project (16 Jan 2025)</t>
  </si>
  <si>
    <t xml:space="preserve">https://nimc.gov.ng/press-releases/fmafs-nimc-nin-enabled-farmer-registry--g2p-card-project</t>
  </si>
  <si>
    <t xml:space="preserve">The name implies a register of farmers (individuals), but Egypt's record is an agricultural holding registry embedded in a subsidy smart-card scheme, whose scale figures mix four non-comparable units — cards printed, cards distributed, farmers benefiting, and holdings registered — with no…</t>
  </si>
  <si>
    <t xml:space="preserve">3.4</t>
  </si>
  <si>
    <t xml:space="preserve">Digital land/plot registration</t>
  </si>
  <si>
    <t xml:space="preserve">FIN,AGI</t>
  </si>
  <si>
    <t xml:space="preserve">National digital cadastre: Announced, not operating. FG-World Bank National Land Registration, Documentation and Titling Programme (NLRDTP, branded 'Land4Growth') agreement signed 11 Sep 2024; National (Digital) Land Inf</t>
  </si>
  <si>
    <t xml:space="preserve">FMHUD: FG Partners World Bank To Develop National Land Digital System (14 Nov 2024)</t>
  </si>
  <si>
    <t xml:space="preserve">https://fmhud.gov.ng/read/3387</t>
  </si>
  <si>
    <t xml:space="preserve">The name reads as one object but three distinct registers are in play — legal title, a national all-property real-estate ID database, and agricultural usufruct/holding records — and Egypt's rung-3 anchor is an economy-wide real-estate identification law (urban property included) scored inside an…</t>
  </si>
  <si>
    <t xml:space="preserve">3.5</t>
  </si>
  <si>
    <t xml:space="preserve">Open agricultural data (machine-readable, AI-ready)</t>
  </si>
  <si>
    <t xml:space="preserve">AGI,ADV,SMF</t>
  </si>
  <si>
    <t xml:space="preserve">NBS Microdata Catalog operating: 107 studies (checked 22 Aug 2026), including NASC 2022 agricultural census microdata (30,546 EAs; 767/774 LGAs; DDI/XML/JSON metadata; 5,342 downloads) and NASS 2023 with public-use files</t>
  </si>
  <si>
    <t xml:space="preserve">NBS Microdata Catalog — National Agricultural Sample Census 2022 (NGA-NBS-NASC-2022)</t>
  </si>
  <si>
    <t xml:space="preserve">https://microdata.nigerianstat.gov.ng/index.php/catalog/79</t>
  </si>
  <si>
    <t xml:space="preserve">⚠ The name asserts three conjoined qualifiers — open, machine-readable, AI-ready — and Nigeria scores rung 4 ('Operating with quality') on a registration-gated statistical microdata catalog that the cell's own text says is neither open nor AI-ready, while Nigeria's actual open-data portals are…</t>
  </si>
  <si>
    <t xml:space="preserve">3.6</t>
  </si>
  <si>
    <t xml:space="preserve">Weather/climate data infrastructure</t>
  </si>
  <si>
    <t xml:space="preserve">ADV,SMF,AGI</t>
  </si>
  <si>
    <t xml:space="preserve">NiMet operational national service: 2026 Seasonal Climate Prediction unveiled 10 Feb 2026 — annual national product with state-level onset/cessation, dry-spell and temperature detail explicitly directed at farmers and ra</t>
  </si>
  <si>
    <t xml:space="preserve">NiMet: NiMet Unveils 2026 Seasonal Climate Prediction (10 Feb 2026)</t>
  </si>
  <si>
    <t xml:space="preserve">https://nimet.gov.ng/news?id=194</t>
  </si>
  <si>
    <t xml:space="preserve">The name is data infrastructure — observation networks, archives, data access — but both countries are scored at rung 4 on advisory products issued to farmers, with no station density, archive, API or data-access evidence recorded on either row, and the advisory content overlaps indicator 8.17…</t>
  </si>
  <si>
    <t xml:space="preserve">3.7</t>
  </si>
  <si>
    <t xml:space="preserve">Satellite/EO data integration</t>
  </si>
  <si>
    <t xml:space="preserve">AGI,SMF</t>
  </si>
  <si>
    <t xml:space="preserve">Satellite/EO in agriculture is institutionally adopted but operationally early. NASRDA (Dept of Space Science Applications) has an MoU with FMAFS to supply satellite imagery, real-time monitoring and technical leadership</t>
  </si>
  <si>
    <t xml:space="preserve">Space in Africa: NASRDA Opens Three-Day Workshop on Satellite-Based Irrigation Mapping in Nigeria (4 Mar 2026)</t>
  </si>
  <si>
    <t xml:space="preserve">https://spaceinafrica.com/2026/03/04/nasrda-opens-three-day-workshop-on-satellite-based-irrigation-mapping-in-nigeria/</t>
  </si>
  <si>
    <t xml:space="preserve">The name fixes neither the object nor the bar for 'integration' — Egypt is scored rung 4 on producing national crop maps, Nigeria rung 3 on institutional arrangements — and Egypt's 'operating beyond pilots' assertion rests on a source whose own title announces a pilot launch, recorded under year…</t>
  </si>
  <si>
    <t xml:space="preserve">3.8</t>
  </si>
  <si>
    <t xml:space="preserve">National soil map/database</t>
  </si>
  <si>
    <t xml:space="preserve">ADV,SMF</t>
  </si>
  <si>
    <t xml:space="preserve">Nigerian Farmers Soil Health Scheme (NFSHS) launched by President Tinubu (FMAFS, reported 15 Oct 2025) with three components: soil health cards, soil-testing laboratories, and the Nigeria Soil Information System (NiSIS)</t>
  </si>
  <si>
    <t xml:space="preserve">FMAFS: FG Begins Validation of First National Soil Policy, Using Ward-Level Data (Jul 2026)</t>
  </si>
  <si>
    <t xml:space="preserve">https://agriculture.gov.ng/fg-begins-validation-of-first-national-soil-policy-using-ward-level-data-to-boost-food-security-cut-costs/</t>
  </si>
  <si>
    <t xml:space="preserve">Does a digitized legacy paper soil map satisfy the indicator, or does the ladder measure an operating digital soil information service?</t>
  </si>
  <si>
    <t xml:space="preserve">3.11</t>
  </si>
  <si>
    <t xml:space="preserve">Agricultural data interoperability standards</t>
  </si>
  <si>
    <t xml:space="preserve">UC:AGI</t>
  </si>
  <si>
    <t xml:space="preserve">No published agricultural data interoperability standard or schema found after active refutation attempts. Nearest artifacts, none ag-specific and none an adopted ag-data standard: Nigeria e-Government Interoperability F</t>
  </si>
  <si>
    <t xml:space="preserve">NITDA: Nigeria e-Government Interoperability Framework (Ne-GIF) — nearest adjacent artifact, government-wide only</t>
  </si>
  <si>
    <t xml:space="preserve">https://nitda.gov.ng/wp-content/uploads/2020/11/Ne-GIFFinal1.pdf</t>
  </si>
  <si>
    <t xml:space="preserve">Must the standard be agriculture-specific, or do cross-government open-data/DPI instruments and draft harmonisation work count as Present/Announced for this prerequisite cell?</t>
  </si>
  <si>
    <t xml:space="preserve">4.1</t>
  </si>
  <si>
    <t xml:space="preserve">Data protection/privacy law</t>
  </si>
  <si>
    <t xml:space="preserve">C3</t>
  </si>
  <si>
    <t xml:space="preserve">NDPA 2023 in force (assented 12 June 2023, per official Act text); NDPC operational and enforcing: GAID 2025 issued 20 March 2025 (signed by National Commissioner Olatunji); NDPC Annual Report 2025 records 146 investigat</t>
  </si>
  <si>
    <t xml:space="preserve">NDPA 2023 (Act text); NDPC Annual Report 2025 (146 investigations, 306 DPCOs); GAID 2025</t>
  </si>
  <si>
    <t xml:space="preserve">https://ndpc.gov.ng/wp-content/uploads/2026/06/NDPC-Annual-Report-2025-1.pdf</t>
  </si>
  <si>
    <t xml:space="preserve">4.2</t>
  </si>
  <si>
    <t xml:space="preserve">Cybersecurity framework (ITU GCI)</t>
  </si>
  <si>
    <t xml:space="preserve">ITU Global Cybersecurity Index 2024 (5th edition), Nigeria country profile, report p.45</t>
  </si>
  <si>
    <t xml:space="preserve">https://www.itu.int/dms_pub/itu-d/opb/hdb/d-hdb-gci.01-2024-pdf-e.pdf</t>
  </si>
  <si>
    <t xml:space="preserve">Thresholds are defined on a 0–1 basis but Egypt is recorded as 100 and Nigeria as 0.824, so the same register column holds two incommensurable scales; separately, neither number is an overall score ITU actually publishes in the GCI 2024 report.</t>
  </si>
  <si>
    <t xml:space="preserve">4.3</t>
  </si>
  <si>
    <t xml:space="preserve">Government AI Readiness Index</t>
  </si>
  <si>
    <t xml:space="preserve">Oxford Insights Government AI Readiness Index 2024 (report, full rankings table)</t>
  </si>
  <si>
    <t xml:space="preserve">https://oxfordinsights.com/wp-content/uploads/2024/12/2024-Government-AI-Readiness-Index-2.pdf</t>
  </si>
  <si>
    <t xml:space="preserve">Now that the 2025 edition dropped the open overall score, does the cell score the stale 2024 overall score, substitute rank plus pillar scores, or gap?</t>
  </si>
  <si>
    <t xml:space="preserve">4.4</t>
  </si>
  <si>
    <t xml:space="preserve">National digital agriculture strategy</t>
  </si>
  <si>
    <t xml:space="preserve">No adopted national digital agriculture strategy as of Aug 2026. The Nigeria Digital Agriculture Strategy (NDAS) 2020-2030 remains a DRAFT (Nov 2020) on NITDA's site, still framed as open for stakeholder input. The opera</t>
  </si>
  <si>
    <t xml:space="preserve">NITDA - Draft National Digital Agriculture Strategy (NDAS) page + draft PDF (Nov 2020)</t>
  </si>
  <si>
    <t xml:space="preserve">https://nitda.gov.ng/draft-national-digital-agriculture-strategy-ndas/</t>
  </si>
  <si>
    <t xml:space="preserve">Does the indicator score only a dedicated digital-agriculture strategy document, or does it credit digital-ag components embedded in broader national strategies and active programmes running without a strategy?</t>
  </si>
  <si>
    <t xml:space="preserve">4.5</t>
  </si>
  <si>
    <t xml:space="preserve">Agricultural data governance framework</t>
  </si>
  <si>
    <t xml:space="preserve">AGI,FIN</t>
  </si>
  <si>
    <t xml:space="preserve">Absent - refutation attempted and failed. No agricultural data governance framework (sector rules on agricultural data sharing, ownership, or access) was found in force. NASIP 2026 (the sector's flagship plan) contains n</t>
  </si>
  <si>
    <t xml:space="preserve">National Agri-food Systems Investment Plan (NASIP) 2026, FMAFS - full text checked (negative finding)</t>
  </si>
  <si>
    <t xml:space="preserve">https://agriculture.gov.ng/wp-content/uploads/2026/03/Agricfood-System-Investment-Plan-1.pdf</t>
  </si>
  <si>
    <t xml:space="preserve">4.6</t>
  </si>
  <si>
    <t xml:space="preserve">National AI strategy with agriculture component</t>
  </si>
  <si>
    <t xml:space="preserve">Final National Artificial Intelligence Strategy published September 2025 (81 pp, FMCIDE, hosted on NCAIR/NITDA official site, dated 19-09-2025, no draft watermark; the August 2024 predecessor was watermarked DRAFT). Agri</t>
  </si>
  <si>
    <t xml:space="preserve">National Artificial Intelligence Strategy, September 2025 (FMCIDE/NCAIR)</t>
  </si>
  <si>
    <t xml:space="preserve">https://ncair.nitda.gov.ng/wp-content/uploads/2025/09/National-Artificial-Intelligence-Strategy-19092025.pdf</t>
  </si>
  <si>
    <t xml:space="preserve">What evidence makes a strategy 'Adopted' — official publication, or formal executive/cabinet approval?</t>
  </si>
  <si>
    <t xml:space="preserve">4.7</t>
  </si>
  <si>
    <t xml:space="preserve">Digital ID coverage (%)</t>
  </si>
  <si>
    <t xml:space="preserve">FIN,ALL</t>
  </si>
  <si>
    <t xml:space="preserve">UC:FIN</t>
  </si>
  <si>
    <t xml:space="preserve">World Bank Identification for Development (ID4D) — ID ownership, total (% of population ages 15+), Nigeria</t>
  </si>
  <si>
    <t xml:space="preserve">https://api.worldbank.org/v2/country/NGA/indicator/ID.OWN.TOTL.ZS?format=json&amp;source=89</t>
  </si>
  <si>
    <t xml:space="preserve">⚠ The name asserts a digital ID, but Egypt records the World Bank ID4D foundational national-ID-card ownership series while ID4D's actual digital-ID series exists and was not used — and on top of that the two countries are recorded on different denominators (Egypt % of adults 15+, Nigeria % of…</t>
  </si>
  <si>
    <t xml:space="preserve">4.9</t>
  </si>
  <si>
    <t xml:space="preserve">Inter-ministerial coordination mechanism</t>
  </si>
  <si>
    <t xml:space="preserve">DELIVERY</t>
  </si>
  <si>
    <t xml:space="preserve">No standing inter-ministerial body coordinating digital agriculture (FMAFS + FMCIDE/NITDA) found - refutation attempted. Coordination is project-based and multiplying: FMAFS-NIMC NIN-enabled Farmer Registry &amp; G2P Card pr</t>
  </si>
  <si>
    <t xml:space="preserve">FMAFS - Nigeria launches National Digital Farmers Registry (workshop + Multi-Stakeholder Knowledge-Sharing Platform), 20 Nov 2025</t>
  </si>
  <si>
    <t xml:space="preserve">https://agriculture.gov.ng/nigeria-launches-national-digital-farmers-registry-to-strengthen-food-security/</t>
  </si>
  <si>
    <t xml:space="preserve">Does the indicator require a formally constituted standing body or committee, or does any documented recurring — including project-based — coordination mechanism satisfy it?</t>
  </si>
  <si>
    <t xml:space="preserve">5.2</t>
  </si>
  <si>
    <t xml:space="preserve">Adult literacy rate (%)</t>
  </si>
  <si>
    <t xml:space="preserve">C4</t>
  </si>
  <si>
    <t xml:space="preserve">World Bank WDI SE.ADT.LITR.ZS</t>
  </si>
  <si>
    <t xml:space="preserve">https://api.worldbank.org/v2/country/NGA/indicator/SE.ADT.LITR.ZS?format=json&amp;mrnev=1&amp;per_page=5</t>
  </si>
  <si>
    <t xml:space="preserve">5.3</t>
  </si>
  <si>
    <t xml:space="preserve">Tertiary STEM enrollment (% gross)</t>
  </si>
  <si>
    <t xml:space="preserve">World Bank WDI SE.TER.ENRR</t>
  </si>
  <si>
    <t xml:space="preserve">https://api.worldbank.org/v2/country/NGA/indicator/SE.TER.ENRR?format=json&amp;mrnev=1&amp;per_page=5</t>
  </si>
  <si>
    <t xml:space="preserve">⚠ The name asserts the STEM subset of tertiary enrollment, but both countries record World Bank WDI SE.TER.ENRR, which is total tertiary gross enrollment across all fields, and the level is then scored against thresholds calibrated for a STEM share.</t>
  </si>
  <si>
    <t xml:space="preserve">5.4</t>
  </si>
  <si>
    <t xml:space="preserve">Digital literacy among farmers (%)</t>
  </si>
  <si>
    <t xml:space="preserve">PROXY (rural population, not farmers - construct defect logged): MICS 2021 measured basic digital-skill tasks with rural/gender splits; rural shares in single digits to low teens</t>
  </si>
  <si>
    <t xml:space="preserve">World Bank-Mastercard Foundation 'Digital Skills in Nigeria' (MICS 2021/NBS-UNICEF)</t>
  </si>
  <si>
    <t xml:space="preserve">https://thedocs.worldbank.org/en/doc/a607bb6e3b76d2be0f3db8db34dcf73e-0140022025</t>
  </si>
  <si>
    <t xml:space="preserve">The name asserts a national digital-literacy rate among farmers, but Nigeria records rural-population digital skills and Egypt records a two-governorate RCT baseline whose headline figure is digital ILliteracy, the inverse of the indicator's H direction.</t>
  </si>
  <si>
    <t xml:space="preserve">5.5</t>
  </si>
  <si>
    <t xml:space="preserve">Digital extension capability</t>
  </si>
  <si>
    <t xml:space="preserve">ADV</t>
  </si>
  <si>
    <t xml:space="preserve">UC:ADV</t>
  </si>
  <si>
    <t xml:space="preserve">Operating — NAERLS (federal extension agency under FMAFS, at ABU Zaria) has run a dedicated e-Extension department since January 2017, operating the National Farmers Helpline call center (Hausa/Igbo/Yoruba/English, natio</t>
  </si>
  <si>
    <t xml:space="preserve">FMINO official release: FMAFS and ACReSAL Partner with World Bank to Transition ; NAERLS e-Extension &amp; NFHL pages</t>
  </si>
  <si>
    <t xml:space="preserve">https://fmino.gov.ng/fmafs-and-acresal-partner-with-world-bank-to-transition-digital-precision-agricultural-extension-platform-dpae-for-enhanced-climate-resilience/</t>
  </si>
  <si>
    <t xml:space="preserve">5.7</t>
  </si>
  <si>
    <t xml:space="preserve">MoAg digital/AI unit</t>
  </si>
  <si>
    <t xml:space="preserve">Absent as a standing unit — FMAFS's official published structure (11 service departments, 12 technical departments, 3 units) names no digital, ICT, data, e-agriculture or AI department or unit. Digital-agriculture functi</t>
  </si>
  <si>
    <t xml:space="preserve">FMAFS — Structure (official ministry organogram page)</t>
  </si>
  <si>
    <t xml:space="preserve">https://agriculture.gov.ng/structure/</t>
  </si>
  <si>
    <t xml:space="preserve">⚠ The name asserts a standing digital/AI unit inside the ministry of agriculture, but Egypt is scored level 3 on a joint MALR-MCIT programme while the row's own note records that the named unit could not be confirmed and that the prior evidence for it was ruled inadmissible — and because this row…</t>
  </si>
  <si>
    <t xml:space="preserve">5.8</t>
  </si>
  <si>
    <t xml:space="preserve">Agtech/data-science training pipeline</t>
  </si>
  <si>
    <t xml:space="preserve">Operating (generic digital-talent pipeline; agtech-specific bridging undocumented) — the federal 3MTT (3 Million Technical Talent) programme, run by the Federal Ministry of Communications, Innovation &amp; Digital Economy wi</t>
  </si>
  <si>
    <t xml:space="preserve">3MTT — official programme site (FMCIDE/NITDA)</t>
  </si>
  <si>
    <t xml:space="preserve">https://3mtt.nitda.gov.ng/</t>
  </si>
  <si>
    <t xml:space="preserve">The name's "agtech" half is unevidenced in both countries — each level 3 is carried entirely by a generic national ICT/data-talent programme with the agriculture bridging explicitly absent — and the slash never says whether the two halves are conjunctive or disjunctive.</t>
  </si>
  <si>
    <t xml:space="preserve">5.12</t>
  </si>
  <si>
    <t xml:space="preserve">Gender balance in digital-ag workforce (%)</t>
  </si>
  <si>
    <t xml:space="preserve">EQ,ADV</t>
  </si>
  <si>
    <t xml:space="preserve">DATA GAP — searched: NCC Baseline Study on the Level of Digital Skills in Nigeria (RD-1) — read; measures women's general digital skills, no digital-agriculture workforce split; GSMA AgriTech programme page attempted for women-in-agritech workforce data (HTTP 403, unretrievable at capture). No NBS or ILO series for digital-ag workforce gender composition was located before the session's search budget was exhausted. Accessed 2026-08-22.</t>
  </si>
  <si>
    <t xml:space="preserve">Structured source search, 22 August 2026</t>
  </si>
  <si>
    <t xml:space="preserve">Who counts as the 'digital-ag workforce' — extension staff, agtech-company employees, or ICT-in-agriculture roles generally — given the H 20/35/45/50 thresholds presuppose a share no source publishes?</t>
  </si>
  <si>
    <t xml:space="preserve">6.1</t>
  </si>
  <si>
    <t xml:space="preserve">Global Innovation Index</t>
  </si>
  <si>
    <t xml:space="preserve">E1</t>
  </si>
  <si>
    <t xml:space="preserve">WIPO Global Innovation Index 2025, Executive Version — GII 2025 rankings table (row: '105 Nigeria 21.1 18 11')</t>
  </si>
  <si>
    <t xml:space="preserve">https://www.wipo.int/edocs/pubdocs/en/wipo-pub-2000-2025-exec-en-global-innovation-index-2025.pdf</t>
  </si>
  <si>
    <t xml:space="preserve">6.3</t>
  </si>
  <si>
    <t xml:space="preserve">Business Ready (B-READY)</t>
  </si>
  <si>
    <t xml:space="preserve">DATA GAP — searched World Bank B-READY covered-economies page (Nigeria absent from the 2024 cohort of 50 and the 2025 cohort of +52; Nigeria listed in the planned 2026 cohort of +62), B-READY reports/publications pages (latest published edition as of 2026-08-22 is B-READY 2025; the 2026 edition that first covers Nigeria is not yet released). No B-READY score for Nigeria exists.</t>
  </si>
  <si>
    <t xml:space="preserve">6.4</t>
  </si>
  <si>
    <t xml:space="preserve">Agtech venture ecosystem</t>
  </si>
  <si>
    <t xml:space="preserve">Transformation</t>
  </si>
  <si>
    <t xml:space="preserve">Operating, funded agtech cohort with named ventures: ThriveAgric (named in AgFunder H1-2024 Africa report coverage), Crop2Cash (GSMA Innovation Fund grantee; 500,000+ smallholders reached), Hello Tractor (GSMA grantee, N</t>
  </si>
  <si>
    <t xml:space="preserve">AgFunder Developing Markets AgriFoodTech Investment Report 2025 (via AgFunderNews report summary, 2024 data)</t>
  </si>
  <si>
    <t xml:space="preserve">https://agfundernews.com/new-report-agrifoodtech-funding-in-developing-markets-surges-63-bucking-global-decline</t>
  </si>
  <si>
    <t xml:space="preserve">The scale evidence is AgFunder "agrifoodtech" deal flow, a category that includes downstream food-tech and non-farmer-facing ventures, standing in for an agtech venture ecosystem — a measurably broader denominator that inflates deal and funding counts.</t>
  </si>
  <si>
    <t xml:space="preserve">6.9</t>
  </si>
  <si>
    <t xml:space="preserve">Public-private partnerships in digital ag</t>
  </si>
  <si>
    <t xml:space="preserve">ADV,AGI,SCM</t>
  </si>
  <si>
    <t xml:space="preserve">Multiple named PPPs in digital agriculture, mostly newly signed: (1) FMAFS + Cooperative Federation of Nigeria + Seamfix Ltd MOU (12 Aug 2026) to deploy the National Cooperative Digital Identity System — National Coopera</t>
  </si>
  <si>
    <t xml:space="preserve">FMAFS: FG signs MOU to deploy National Cooperative Digital Identity System (12 Aug 2026)</t>
  </si>
  <si>
    <t xml:space="preserve">https://agriculture.gov.ng/fg-signs-mou-to-deploy-national-cooperative-digital-identity-system-announces-6-month-revalidation-for-all-cooperatives-2/</t>
  </si>
  <si>
    <t xml:space="preserve">The name asserts operating public-private partnerships, but Nigeria's level 3 rests substantially on MOUs signed days before capture (intent, not operation) and Egypt's flagship partnership pairs ministries with state-owned financial entities, leaving the "private" half of the construct thin.</t>
  </si>
  <si>
    <t xml:space="preserve">6.12</t>
  </si>
  <si>
    <t xml:space="preserve">Digital public goods adopted</t>
  </si>
  <si>
    <t xml:space="preserve">Absent — no registered agriculture digital public good found in Nigerian national use. The DPG registry's agriculture-relevant entries (farmOS, FarmStack, FAO Digital Services Portfolio — AgriMarketplace and Weather &amp; Cr</t>
  </si>
  <si>
    <t xml:space="preserve">DPG Alliance registry dataset, digitalpublicgoods/ entries (repo archived Aug 2024)</t>
  </si>
  <si>
    <t xml:space="preserve">https://github.com/DPGAlliance/publicgoods-candidates/tree/main/digitalpublicgoods</t>
  </si>
  <si>
    <t xml:space="preserve">Does 'DPG adopted' mean the country deploying a globally registered DPG, or the country itself adopting a DPG policy or registering a national product?</t>
  </si>
  <si>
    <t xml:space="preserve">6.13</t>
  </si>
  <si>
    <t xml:space="preserve">SME/agribusiness adoption of digital tools (%)</t>
  </si>
  <si>
    <t xml:space="preserve">SMF,SCM,MKT</t>
  </si>
  <si>
    <t xml:space="preserve">Interim (2024): 88% of Nigerian MSMEs use smartphones in business operations; 57% desktop/laptop; construct does not map to 'digital tools adoption %'. World Bank Enterprise Surveys NEW Nigeria baseline (fieldwork Feb-Sep 2025, 1,043 firms) released Oct 2025 - digital module to be pulled at refresh</t>
  </si>
  <si>
    <t xml:space="preserve">GSMA/industry MSME survey (interim); WB Enterprise Surveys Nigeria 2025</t>
  </si>
  <si>
    <t xml:space="preserve">https://www.enterprisesurveys.org/content/dam/enterprisesurveys/documents/country</t>
  </si>
  <si>
    <t xml:space="preserve">The name fixes neither the population (SMEs economy-wide or agribusiness firms specifically — the slash is undefined) nor what counts as a "digital tool", and the register itself records that the available evidence cannot be mapped onto it.</t>
  </si>
  <si>
    <t xml:space="preserve">6.14</t>
  </si>
  <si>
    <t xml:space="preserve">Agri-fintech rails for smallholders</t>
  </si>
  <si>
    <t xml:space="preserve">FIN</t>
  </si>
  <si>
    <t xml:space="preserve">Agri-fintech rails present and operating with quantified smallholder reach on one rail: Crop2Cash (USSD CashCard — digital identity, input finance, payments for unbanked farmers) 'has reached over 500,000 smallholder far</t>
  </si>
  <si>
    <t xml:space="preserve">GSMA M4D blog: 'Ensuring food security by solving the agricultural information gap' (29 Aug 2024; Crop2Cash figures)</t>
  </si>
  <si>
    <t xml:space="preserve">https://www.gsma.com/solutions-and-impact/connectivity-for-good/mobile-for-development/blog/ensuring-food-security-by-solving-the-agricultural-information-gap/</t>
  </si>
  <si>
    <t xml:space="preserve">The name asserts rails serving smallholders, but the scale evidence is instruments issued and vendor-reported farmers "reached" rather than active use, and Egypt's Farmer Card is a state-issued instrument for registered landholders generally rather than for smallholders specifically.</t>
  </si>
  <si>
    <t xml:space="preserve">3.9</t>
  </si>
  <si>
    <t xml:space="preserve">Digital advisory platforms at scale</t>
  </si>
  <si>
    <t xml:space="preserve">At least one digital advisory platform verified above the 10k-user bar: Crop2Cash — 500,000+ smallholder farmers reached via USSD-based advisory (climate-smart content) plus marketplace/finance (reported by GSMA, grantee</t>
  </si>
  <si>
    <t xml:space="preserve">GSMA M4D blog: 'Ensuring food security by solving the agricultural information gap' (29 Aug 2024)</t>
  </si>
  <si>
    <t xml:space="preserve">"At scale" fixes no threshold anywhere in the model (th=[] for all ladder rows), so a &gt;10k-user bar imported from outside the audited files carries both level 4s, and the counts behind it are self-reported registered users rather than active or reached farmers.</t>
  </si>
  <si>
    <t xml:space="preserve">3.10</t>
  </si>
  <si>
    <t xml:space="preserve">Agricultural e-commerce platforms</t>
  </si>
  <si>
    <t xml:space="preserve">MKT</t>
  </si>
  <si>
    <t xml:space="preserve">Operating agricultural e-commerce/marketplace platforms, with stale or self-reported scale figures: AFEX (commodities exchange with digital trading platform, Abuja/Lagos) — 'over 300,000 farmers on our platform' per its</t>
  </si>
  <si>
    <t xml:space="preserve">AgFunderNews: 'Q&amp;A: AFEX's $100m bond aims to unlock climate-smart capital for Nigeria's ag sector' (14 Jan 2022)</t>
  </si>
  <si>
    <t xml:space="preserve">https://agfundernews.com/qa-afexs-100-million-bond-aims-to-unlock-climate-smart-capital-for-nigerias-agricultural-sector</t>
  </si>
  <si>
    <t xml:space="preserve">Does the indicator count only farmer-facing platforms, or any agri-food value-chain commerce platform (OneOrder, Cartona, AFEX)?</t>
  </si>
  <si>
    <t xml:space="preserve">7.2</t>
  </si>
  <si>
    <t xml:space="preserve">AI-enabled agricultural solutions deployed</t>
  </si>
  <si>
    <t xml:space="preserve">ADV,FIN,SCM,SMF,AGI</t>
  </si>
  <si>
    <t xml:space="preserve">National Agro-Productivity System (NAPS) — billed as Nigeria's first national crop-monitoring platform powered by satellite imagery and AI (5-day-refresh imagery, automatic farm identification, real-time yield/land-use/f</t>
  </si>
  <si>
    <t xml:space="preserve">Space in Africa: 'Nigeria to Deploy AI and Satellite-Powered Crop Monitoring System' (21 Jul 2026)</t>
  </si>
  <si>
    <t xml:space="preserve">https://spaceinafrica.com/2026/07/21/nigeria-to-deploy-ai-and-satellite-powered-crop-monitoring-system/</t>
  </si>
  <si>
    <t xml:space="preserve">The name asserts deployment, but Egypt's level 3 rests on a solution restricted to a pilot cohort with no verified reach and Nigeria's row is anchored on a future-tense announcement of an intent to deploy.</t>
  </si>
  <si>
    <t xml:space="preserve">7.12</t>
  </si>
  <si>
    <t xml:space="preserve">Responsible-AI safeguards (consent, rights)</t>
  </si>
  <si>
    <t xml:space="preserve">AI</t>
  </si>
  <si>
    <t xml:space="preserve">UC:AI</t>
  </si>
  <si>
    <t xml:space="preserve">General cross-sector AI/automated-decision safeguards adopted and in force; nothing agriculture-specific. NDPC General Application and Implementation Directive (GAID) 2025 under NDPA 2023 (document dated 20 Mar 2025; law</t>
  </si>
  <si>
    <t xml:space="preserve">NDPC, Nigeria Data Protection Act — General Application and Implementation Directive (GAID) 2025, 20 March 2025 (official PDF)</t>
  </si>
  <si>
    <t xml:space="preserve">https://ndpc.gov.ng/wp-content/uploads/2025/07/NDP-ACT-GAID-2025-MARCH-20TH.pdf</t>
  </si>
  <si>
    <t xml:space="preserve">The name does not fix whether the safeguards must be agriculture- or farmer-specific or whether a cross-sector regime suffices, and the two countries resolve it in opposite directions on the same recorded fact pattern — each row states that nothing agriculture-specific exists, yet one is scored…</t>
  </si>
  <si>
    <t xml:space="preserve">8.2</t>
  </si>
  <si>
    <t xml:space="preserve">Account ownership, female (%)</t>
  </si>
  <si>
    <t xml:space="preserve">O1</t>
  </si>
  <si>
    <t xml:space="preserve">Outcomes</t>
  </si>
  <si>
    <t xml:space="preserve">FIN,EQ</t>
  </si>
  <si>
    <t xml:space="preserve">World Bank WDI FX.OWN.TOTL.FE.ZS (Global Findex wave)</t>
  </si>
  <si>
    <t xml:space="preserve">https://api.worldbank.org/v2/country/NGA/indicator/FX.OWN.TOTL.FE.ZS?format=json&amp;mrnev=1&amp;per_page=5</t>
  </si>
  <si>
    <t xml:space="preserve">"Account" is not defined in the name, and the chosen WDI series counts mobile-money accounts inside the total — the same construct scored separately at 8.4 — so mobile money is effectively double-weighted in the FIN use-case column and in the O1 mean.</t>
  </si>
  <si>
    <t xml:space="preserve">8.4</t>
  </si>
  <si>
    <t xml:space="preserve">Mobile money account (%)</t>
  </si>
  <si>
    <t xml:space="preserve">World Bank Global Findex Database 2025 — Mobile money account (% age 15+), Nigeria, 2024</t>
  </si>
  <si>
    <t xml:space="preserve">https://api.worldbank.org/v2/country/NGA/indicator/mobileaccount.t.d?source=28&amp;format=json</t>
  </si>
  <si>
    <t xml:space="preserve">8.6</t>
  </si>
  <si>
    <t xml:space="preserve">Gender gap in phone ownership (pp)</t>
  </si>
  <si>
    <t xml:space="preserve">EQ</t>
  </si>
  <si>
    <t xml:space="preserve">World Bank Global Findex Database 2025 — Own a mobile phone (% age 15+), Nigeria 2024: women 81.70 (con1.1), men 85.84 (con1.2); gap = 4.1 pp (derived by subtraction)</t>
  </si>
  <si>
    <t xml:space="preserve">https://api.worldbank.org/v2/country/NGA/indicator/con1.1?source=28&amp;format=json</t>
  </si>
  <si>
    <t xml:space="preserve">The name fixes the unit as percentage points but not the sign convention or the basis, so a reversed gap (women ahead) scores as best-in-class under direction L, and the widely quoted GSMA figure for the same construct is a relative gap on a male-ownership base, a different number entirely.</t>
  </si>
  <si>
    <t xml:space="preserve">8.9</t>
  </si>
  <si>
    <t xml:space="preserve">Smallholders reached by digital services (%)</t>
  </si>
  <si>
    <t xml:space="preserve">ALL,EQ</t>
  </si>
  <si>
    <t xml:space="preserve">No national percentage measured. Closest datum with real provenance (stale, 2018-19): CTA/Dalberg 'Digitalisation of African Agriculture Report 2018-2019', Nigeria annex — ~0.5 million users of D4Ag solutions headquarter</t>
  </si>
  <si>
    <t xml:space="preserve">CTA/Dalberg, The Digitalisation of African Agriculture Report 2018-2019, Nigeria annex pp. 181-184 and endnote 172 (verified in full text)</t>
  </si>
  <si>
    <t xml:space="preserve">https://cgspace.cgiar.org/bitstreams/510cad0e-2b82-4a00-9be3-38a5bf346280/download</t>
  </si>
  <si>
    <t xml:space="preserve">The name asserts a national share of smallholders reached, but Egypt's scored level 1 is derived from a two-governorate RCT baseline explicitly labelled as having no national provenance, and "reached" is nowhere defined against registered, active, or benefiting users.</t>
  </si>
  <si>
    <t xml:space="preserve">8.11</t>
  </si>
  <si>
    <t xml:space="preserve">Services in local languages (%)</t>
  </si>
  <si>
    <t xml:space="preserve">ADV,EQ</t>
  </si>
  <si>
    <t xml:space="preserve">DATA GAP — searched: T1 ITU/NBS/Findex (no statistic on language coverage of digital agriculture services exists); T2 none located; T3 FMAFS/NAERLS (no service-language audit or registry published); T4 GSMA (gsma.com 403/404 to all fetches 2026-08-22), CTA/Dalberg D4Ag 2019 full text grepped for local-language evidence (mentions are Ghana/India examples — Farmerline, Esoko IVR, MyAgriGuru — no Nigeria share or count). No source names a percentage of Nigerian digital-ag services available in local languages.</t>
  </si>
  <si>
    <t xml:space="preserve">Should 8.11 remain a %-share indicator when no country publishes a denominator for local-language service delivery — and the Nigeria bundle's guidance text is contaminated with Egypt-specific content that must be removed regardless of the ruling?</t>
  </si>
  <si>
    <t xml:space="preserve">8.12</t>
  </si>
  <si>
    <t xml:space="preserve">Documented impact evidence (yield/income)</t>
  </si>
  <si>
    <t xml:space="preserve">Independent, peer-reviewed impact evidence EXISTS for digital agriculture in Nigeria. Anchor study (content verified at capture): Arouna, Michler, Yergo &amp; Saito (2021), 'One size fits all? Experimental evidence on the digi</t>
  </si>
  <si>
    <t xml:space="preserve">Arouna, Michler, Yergo &amp; Saito (2021), American Journal of Agricultural Economics 103(2): 596-619, doi:10.1111/ajae.12151</t>
  </si>
  <si>
    <t xml:space="preserve">https://doi.org/10.1111/ajae.12151</t>
  </si>
  <si>
    <t xml:space="preserve">The name's parenthetical fixes the outcome as yield or income, but Egypt's level 3 rests on an evaluation whose measured outcome is diffusion and adoption of digital tools, not yield or income.</t>
  </si>
  <si>
    <t xml:space="preserve">8.17</t>
  </si>
  <si>
    <t xml:space="preserve">Climate advisory reach (%)</t>
  </si>
  <si>
    <t xml:space="preserve">DATA GAP — searched: T1 WDI/FAOSTAT (no climate-advisory-reach series); T3 NiMet: website unreachable 2026-08-22 (nimet.gov.ng returns a 307 redirect loop; www.nimet.gov.ng refuses connections), so SCP 2026 dissemination documentation could not be checked for a reach figure; T3 NAERLS: 2025 Agricultural Performance Survey release read — reports production, prices and climate risks but no percentage of farmers receiving weather/climate advisories, and the full APS PDF is not linked; T2: no national peer-reviewed reach estimate located at capture.</t>
  </si>
  <si>
    <t xml:space="preserve">Does the indicator measure farmer receipt of advisories, or supply-side issuance (warnings issued, platforms live), which is all either country publishes?</t>
  </si>
  <si>
    <t xml:space="preserve">Pillar profile  ·  n = indicators in the pillar; Rated = those that produced a level, which is what the mean averages; Held = level withheld pending ratification. A band in parentheses = judged rows, recorded gaps and held rows outnumber the levelled measured and documented ones</t>
  </si>
  <si>
    <t xml:space="preserve">n</t>
  </si>
  <si>
    <t xml:space="preserve">Rated</t>
  </si>
  <si>
    <t xml:space="preserve">Mean</t>
  </si>
  <si>
    <t xml:space="preserve">Band</t>
  </si>
  <si>
    <t xml:space="preserve">Measured</t>
  </si>
  <si>
    <t xml:space="preserve">Documented</t>
  </si>
  <si>
    <t xml:space="preserve">Judged</t>
  </si>
  <si>
    <t xml:space="preserve">Gap</t>
  </si>
  <si>
    <t xml:space="preserve">Held</t>
  </si>
  <si>
    <t xml:space="preserve">Layer profile and structural gap</t>
  </si>
  <si>
    <t xml:space="preserve">Gap (Foundation − Transformation)</t>
  </si>
  <si>
    <t xml:space="preserve">Prerequisites  (presence only; Unverified = the presence could not be evidenced)</t>
  </si>
  <si>
    <t xml:space="preserve">Prerequisite</t>
  </si>
  <si>
    <t xml:space="preserve">Scope</t>
  </si>
  <si>
    <t xml:space="preserve">Status</t>
  </si>
  <si>
    <t xml:space="preserve">Universal</t>
  </si>
  <si>
    <t xml:space="preserve">Use case: FIN, AGI</t>
  </si>
  <si>
    <t xml:space="preserve">Use case: AGI</t>
  </si>
  <si>
    <t xml:space="preserve">Use case: FIN</t>
  </si>
  <si>
    <t xml:space="preserve">Delivery flag</t>
  </si>
  <si>
    <t xml:space="preserve">Use case: ADV</t>
  </si>
  <si>
    <t xml:space="preserve">Use case: AI-enabled (binds AGI)</t>
  </si>
  <si>
    <t xml:space="preserve">Use-case readiness  (feeds Playbook Step 2B — Digital Readiness)</t>
  </si>
  <si>
    <t xml:space="preserve">Use case area</t>
  </si>
  <si>
    <t xml:space="preserve">Mean of bearing indicators</t>
  </si>
  <si>
    <t xml:space="preserve">Blocking / limiting factor</t>
  </si>
  <si>
    <t xml:space="preserve">Advisory &amp; extension</t>
  </si>
  <si>
    <t xml:space="preserve">Smart farming</t>
  </si>
  <si>
    <t xml:space="preserve">Market linkage</t>
  </si>
  <si>
    <t xml:space="preserve">Supply chain</t>
  </si>
  <si>
    <t xml:space="preserve">Financial services</t>
  </si>
  <si>
    <t xml:space="preserve">Ag intelligence</t>
  </si>
  <si>
    <t xml:space="preserve">Proposed additions — recorded for context, outside every aggregate (ratification item)</t>
  </si>
  <si>
    <t xml:space="preserve">A1-CAND-IMP</t>
  </si>
  <si>
    <t xml:space="preserve">Cereal import dependency ratio (%)</t>
  </si>
  <si>
    <t xml:space="preserve">A1?</t>
  </si>
  <si>
    <t xml:space="preserve">FAOSTAT - Suite of Food Security Indicators (FS), item 21035 'Cereal import dependency ratio (percent) (3-year average)', Nigeria, 2021-2023</t>
  </si>
  <si>
    <t xml:space="preserve">https://bulks-faostat.fao.org/production/Food_Security_Data_E_All_Data_(Normalized).zip</t>
  </si>
  <si>
    <t xml:space="preserve">not scored</t>
  </si>
  <si>
    <t xml:space="preserve">A1-CAND-IRR</t>
  </si>
  <si>
    <t xml:space="preserve">Irrigation coverage (% of cultivated/agricultural land equipped)</t>
  </si>
  <si>
    <t xml:space="preserve">World Bank WDI AG.LND.IRIG.AG.ZS</t>
  </si>
  <si>
    <t xml:space="preserve">https://api.worldbank.org/v2/country/NGA/indicator/AG.LND.IRIG.AG.ZS?format=json&amp;mrnev=1&amp;per_page=5</t>
  </si>
  <si>
    <t xml:space="preserve">Which denominator defines 'land equipped' — cultivated land, arable land, or total agricultural land — since Egypt reads 94.2-94.9% on the first and 100% on the second?</t>
  </si>
  <si>
    <t xml:space="preserve">Issues log — quality control findings</t>
  </si>
  <si>
    <t xml:space="preserve">Every automated failure, peer-review disagreement and sign-off exception is recorded here. Fixes change entries on the scoring sheet; derived fields are never edited.</t>
  </si>
  <si>
    <t xml:space="preserve">#</t>
  </si>
  <si>
    <t xml:space="preserve">Finding</t>
  </si>
  <si>
    <t xml:space="preserve">Row / ID</t>
  </si>
  <si>
    <t xml:space="preserve">Action</t>
  </si>
  <si>
    <t xml:space="preserve">Resolver</t>
  </si>
  <si>
    <t xml:space="preserve">Visuals — charts read live from the scoring sheet</t>
  </si>
  <si>
    <t xml:space="preserve">Read a level chart together with the evidence-mix chart: a strong bar standing on a mostly grey evidence bar is a hypothesis, not a finding.</t>
  </si>
  <si>
    <t xml:space="preserve">A1 Agriculture &amp; need</t>
  </si>
  <si>
    <t xml:space="preserve">C1 Connectivity &amp; access</t>
  </si>
  <si>
    <t xml:space="preserve">C2 Data &amp; DPI</t>
  </si>
  <si>
    <t xml:space="preserve">C3 Policy &amp; safeguards</t>
  </si>
  <si>
    <t xml:space="preserve">C4 People &amp; institutions</t>
  </si>
  <si>
    <t xml:space="preserve">E1 Innovation &amp; emerging tech</t>
  </si>
  <si>
    <t xml:space="preserve">O1 Outcomes &amp; inclusion</t>
  </si>
  <si>
    <t xml:space="preserve">Indicators</t>
  </si>
  <si>
    <t xml:space="preserve">Level 1</t>
  </si>
  <si>
    <t xml:space="preserve">Level 2</t>
  </si>
  <si>
    <t xml:space="preserve">Level 3</t>
  </si>
  <si>
    <t xml:space="preserve">Level 4</t>
  </si>
  <si>
    <t xml:space="preserve">Level 5</t>
  </si>
  <si>
    <t xml:space="preserve">Readings</t>
  </si>
  <si>
    <t xml:space="preserve">2011</t>
  </si>
  <si>
    <t xml:space="preserve">2013</t>
  </si>
  <si>
    <t xml:space="preserve">2017</t>
  </si>
  <si>
    <t xml:space="preserve">2019</t>
  </si>
  <si>
    <t xml:space="preserve">2021</t>
  </si>
  <si>
    <t xml:space="preserve">2022</t>
  </si>
  <si>
    <t xml:space="preserve">2023</t>
  </si>
  <si>
    <t xml:space="preserve">2024</t>
  </si>
  <si>
    <t xml:space="preserve">2025</t>
  </si>
  <si>
    <t xml:space="preserve">2026</t>
  </si>
  <si>
    <t xml:space="preserve">Note: readings more than three years old are flagged STALE on the scoring sheet.</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</si>
</sst>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F5F5B"/>
      <name val="Arial"/>
      <family val="0"/>
      <charset val="1"/>
    </font>
    <font>
      <sz val="9"/>
      <color rgb="FF898781"/>
      <name val="Arial"/>
      <family val="0"/>
      <charset val="1"/>
    </font>
    <font>
      <sz val="10"/>
      <name val="Arial"/>
      <family val="0"/>
      <charset val="1"/>
    </font>
    <font>
      <b val="true"/>
      <sz val="11"/>
      <color rgb="FF1F5F5B"/>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b val="true"/>
      <sz val="18"/>
      <color rgb="FF000000"/>
      <name val="Calibri"/>
      <family val="2"/>
    </font>
    <font>
      <sz val="10"/>
      <color rgb="FF000000"/>
      <name val="Calibri"/>
      <family val="2"/>
    </font>
  </fonts>
  <fills count="5">
    <fill>
      <patternFill patternType="none"/>
    </fill>
    <fill>
      <patternFill patternType="gray125"/>
    </fill>
    <fill>
      <patternFill patternType="solid">
        <fgColor rgb="FF1F5F5B"/>
        <bgColor rgb="FF008080"/>
      </patternFill>
    </fill>
    <fill>
      <patternFill patternType="solid">
        <fgColor rgb="FFFFF9C4"/>
        <bgColor rgb="FFFFFF99"/>
      </patternFill>
    </fill>
    <fill>
      <patternFill patternType="solid">
        <fgColor rgb="FFEAF1F0"/>
        <bgColor rgb="FFFFFFFF"/>
      </patternFill>
    </fill>
  </fills>
  <borders count="2">
    <border diagonalUp="false" diagonalDown="false">
      <left/>
      <right/>
      <top/>
      <bottom/>
      <diagonal/>
    </border>
    <border diagonalUp="false" diagonalDown="false">
      <left style="thin">
        <color rgb="FFD8DDDA"/>
      </left>
      <right style="thin">
        <color rgb="FFD8DDDA"/>
      </right>
      <top style="thin">
        <color rgb="FFD8DDDA"/>
      </top>
      <bottom style="thin">
        <color rgb="FFD8DDD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3"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false" indent="0" shrinkToFit="false"/>
      <protection locked="true" hidden="false"/>
    </xf>
    <xf numFmtId="164" fontId="7" fillId="4" borderId="0"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5F5B"/>
      <rgbColor rgb="FFD8DDDA"/>
      <rgbColor rgb="FF878787"/>
      <rgbColor rgb="FF9999FF"/>
      <rgbColor rgb="FFC0504D"/>
      <rgbColor rgb="FFFFF9C4"/>
      <rgbColor rgb="FFEAF1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BBB59"/>
      <rgbColor rgb="FFFFCC00"/>
      <rgbColor rgb="FFFF9900"/>
      <rgbColor rgb="FFFF6600"/>
      <rgbColor rgb="FF8064A2"/>
      <rgbColor rgb="FF898781"/>
      <rgbColor rgb="FF003366"/>
      <rgbColor rgb="FF4F81BD"/>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profile (1–5)</a:t>
            </a:r>
          </a:p>
        </c:rich>
      </c:tx>
      <c:overlay val="0"/>
      <c:spPr>
        <a:noFill/>
        <a:ln w="0">
          <a:noFill/>
        </a:ln>
      </c:spPr>
    </c:title>
    <c:autoTitleDeleted val="0"/>
    <c:plotArea>
      <c:radarChart>
        <c:radarStyle val="marker"/>
        <c:varyColors val="0"/>
        <c:ser>
          <c:idx val="0"/>
          <c:order val="0"/>
          <c:tx>
            <c:strRef>
              <c:f>Visuals!B3</c:f>
              <c:strCache>
                <c:ptCount val="1"/>
                <c:pt idx="0">
                  <c:v>Mean</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2.25</c:v>
                </c:pt>
                <c:pt idx="1">
                  <c:v>2.83</c:v>
                </c:pt>
                <c:pt idx="2">
                  <c:v>2.57</c:v>
                </c:pt>
                <c:pt idx="3">
                  <c:v>2.88</c:v>
                </c:pt>
                <c:pt idx="4">
                  <c:v>2.5</c:v>
                </c:pt>
                <c:pt idx="5">
                  <c:v>2.56</c:v>
                </c:pt>
                <c:pt idx="6">
                  <c:v>3.25</c:v>
                </c:pt>
              </c:numCache>
            </c:numRef>
          </c:val>
        </c:ser>
        <c:axId val="26521634"/>
        <c:axId val="30134122"/>
      </c:radarChart>
      <c:catAx>
        <c:axId val="26521634"/>
        <c:scaling>
          <c:orientation val="maxMin"/>
        </c:scaling>
        <c:delete val="0"/>
        <c:axPos val="b"/>
        <c:numFmt formatCode="General" sourceLinked="1"/>
        <c:majorTickMark val="none"/>
        <c:minorTickMark val="none"/>
        <c:tickLblPos val="nextTo"/>
        <c:spPr>
          <a:ln w="9360">
            <a:noFill/>
          </a:ln>
        </c:spPr>
        <c:txPr>
          <a:bodyPr/>
          <a:lstStyle/>
          <a:p>
            <a:pPr>
              <a:defRPr sz="1000" b="0" u="none" strike="noStrike">
                <a:solidFill>
                  <a:srgbClr val="000000"/>
                </a:solidFill>
                <a:uFillTx/>
                <a:latin typeface="Calibri"/>
              </a:defRPr>
            </a:pPr>
          </a:p>
        </c:txPr>
        <c:crossAx val="30134122"/>
        <c:crosses val="autoZero"/>
        <c:auto val="1"/>
        <c:lblAlgn val="ctr"/>
        <c:lblOffset val="100"/>
        <c:noMultiLvlLbl val="0"/>
      </c:catAx>
      <c:valAx>
        <c:axId val="30134122"/>
        <c:scaling>
          <c:orientation val="minMax"/>
          <c:max val="5"/>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6521634"/>
        <c:crosses val="autoZero"/>
        <c:crossBetween val="midCat"/>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mean level</a:t>
            </a:r>
          </a:p>
        </c:rich>
      </c:tx>
      <c:overlay val="0"/>
      <c:spPr>
        <a:noFill/>
        <a:ln w="0">
          <a:noFill/>
        </a:ln>
      </c:spPr>
    </c:title>
    <c:autoTitleDeleted val="0"/>
    <c:plotArea>
      <c:barChart>
        <c:barDir val="bar"/>
        <c:grouping val="clustered"/>
        <c:varyColors val="0"/>
        <c:ser>
          <c:idx val="0"/>
          <c:order val="0"/>
          <c:tx>
            <c:strRef>
              <c:f>Visuals!B3</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2.25</c:v>
                </c:pt>
                <c:pt idx="1">
                  <c:v>2.83</c:v>
                </c:pt>
                <c:pt idx="2">
                  <c:v>2.57</c:v>
                </c:pt>
                <c:pt idx="3">
                  <c:v>2.88</c:v>
                </c:pt>
                <c:pt idx="4">
                  <c:v>2.5</c:v>
                </c:pt>
                <c:pt idx="5">
                  <c:v>2.56</c:v>
                </c:pt>
                <c:pt idx="6">
                  <c:v>3.25</c:v>
                </c:pt>
              </c:numCache>
            </c:numRef>
          </c:val>
        </c:ser>
        <c:gapWidth val="150"/>
        <c:overlap val="0"/>
        <c:axId val="14373457"/>
        <c:axId val="82547654"/>
      </c:barChart>
      <c:catAx>
        <c:axId val="1437345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2547654"/>
        <c:crosses val="autoZero"/>
        <c:auto val="1"/>
        <c:lblAlgn val="ctr"/>
        <c:lblOffset val="100"/>
        <c:noMultiLvlLbl val="0"/>
      </c:catAx>
      <c:valAx>
        <c:axId val="8254765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437345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mix per pillar</a:t>
            </a:r>
          </a:p>
        </c:rich>
      </c:tx>
      <c:overlay val="0"/>
      <c:spPr>
        <a:noFill/>
        <a:ln w="0">
          <a:noFill/>
        </a:ln>
      </c:spPr>
    </c:title>
    <c:autoTitleDeleted val="0"/>
    <c:plotArea>
      <c:barChart>
        <c:barDir val="bar"/>
        <c:grouping val="stacked"/>
        <c:varyColors val="0"/>
        <c:ser>
          <c:idx val="0"/>
          <c:order val="0"/>
          <c:tx>
            <c:strRef>
              <c:f>Visuals!C3</c:f>
              <c:strCache>
                <c:ptCount val="1"/>
                <c:pt idx="0">
                  <c:v>Measured</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Visuals!$C$4:$C$10</c:f>
              <c:numCache>
                <c:formatCode>General</c:formatCode>
                <c:ptCount val="7"/>
                <c:pt idx="0">
                  <c:v>5</c:v>
                </c:pt>
                <c:pt idx="1">
                  <c:v>4</c:v>
                </c:pt>
                <c:pt idx="2">
                  <c:v>1</c:v>
                </c:pt>
                <c:pt idx="3">
                  <c:v>3</c:v>
                </c:pt>
                <c:pt idx="4">
                  <c:v>2</c:v>
                </c:pt>
                <c:pt idx="5">
                  <c:v>1</c:v>
                </c:pt>
                <c:pt idx="6">
                  <c:v>3</c:v>
                </c:pt>
              </c:numCache>
            </c:numRef>
          </c:val>
        </c:ser>
        <c:ser>
          <c:idx val="1"/>
          <c:order val="1"/>
          <c:tx>
            <c:strRef>
              <c:f>Visuals!D3</c:f>
              <c:strCache>
                <c:ptCount val="1"/>
                <c:pt idx="0">
                  <c:v>Documented</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Visuals!$D$4:$D$10</c:f>
              <c:numCache>
                <c:formatCode>General</c:formatCode>
                <c:ptCount val="7"/>
                <c:pt idx="0">
                  <c:v>5</c:v>
                </c:pt>
                <c:pt idx="1">
                  <c:v>2</c:v>
                </c:pt>
                <c:pt idx="2">
                  <c:v>7</c:v>
                </c:pt>
                <c:pt idx="3">
                  <c:v>5</c:v>
                </c:pt>
                <c:pt idx="4">
                  <c:v>4</c:v>
                </c:pt>
                <c:pt idx="5">
                  <c:v>8</c:v>
                </c:pt>
                <c:pt idx="6">
                  <c:v>2</c:v>
                </c:pt>
              </c:numCache>
            </c:numRef>
          </c:val>
        </c:ser>
        <c:ser>
          <c:idx val="2"/>
          <c:order val="2"/>
          <c:tx>
            <c:strRef>
              <c:f>Visuals!E3</c:f>
              <c:strCache>
                <c:ptCount val="1"/>
                <c:pt idx="0">
                  <c:v>Judged</c:v>
                </c:pt>
              </c:strCache>
            </c:strRef>
          </c:tx>
          <c:spPr>
            <a:solidFill>
              <a:srgbClr val="9BBB59"/>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Visuals!$E$4:$E$10</c:f>
              <c:numCache>
                <c:formatCode>General</c:formatCode>
                <c:ptCount val="7"/>
                <c:pt idx="0">
                  <c:v>0</c:v>
                </c:pt>
                <c:pt idx="1">
                  <c:v>0</c:v>
                </c:pt>
                <c:pt idx="2">
                  <c:v>0</c:v>
                </c:pt>
                <c:pt idx="3">
                  <c:v>0</c:v>
                </c:pt>
                <c:pt idx="4">
                  <c:v>0</c:v>
                </c:pt>
                <c:pt idx="5">
                  <c:v>1</c:v>
                </c:pt>
                <c:pt idx="6">
                  <c:v>0</c:v>
                </c:pt>
              </c:numCache>
            </c:numRef>
          </c:val>
        </c:ser>
        <c:ser>
          <c:idx val="3"/>
          <c:order val="3"/>
          <c:tx>
            <c:strRef>
              <c:f>Visuals!F3</c:f>
              <c:strCache>
                <c:ptCount val="1"/>
                <c:pt idx="0">
                  <c:v>Gap</c:v>
                </c:pt>
              </c:strCache>
            </c:strRef>
          </c:tx>
          <c:spPr>
            <a:solidFill>
              <a:srgbClr val="8064A2"/>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Visuals!$F$4:$F$10</c:f>
              <c:numCache>
                <c:formatCode>General</c:formatCode>
                <c:ptCount val="7"/>
                <c:pt idx="0">
                  <c:v>0</c:v>
                </c:pt>
                <c:pt idx="1">
                  <c:v>0</c:v>
                </c:pt>
                <c:pt idx="2">
                  <c:v>0</c:v>
                </c:pt>
                <c:pt idx="3">
                  <c:v>0</c:v>
                </c:pt>
                <c:pt idx="4">
                  <c:v>1</c:v>
                </c:pt>
                <c:pt idx="5">
                  <c:v>1</c:v>
                </c:pt>
                <c:pt idx="6">
                  <c:v>2</c:v>
                </c:pt>
              </c:numCache>
            </c:numRef>
          </c:val>
        </c:ser>
        <c:gapWidth val="150"/>
        <c:overlap val="100"/>
        <c:axId val="38796314"/>
        <c:axId val="98813838"/>
      </c:barChart>
      <c:catAx>
        <c:axId val="3879631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8813838"/>
        <c:crosses val="autoZero"/>
        <c:auto val="1"/>
        <c:lblAlgn val="ctr"/>
        <c:lblOffset val="100"/>
        <c:noMultiLvlLbl val="0"/>
      </c:catAx>
      <c:valAx>
        <c:axId val="98813838"/>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879631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Layer profile</a:t>
            </a:r>
          </a:p>
        </c:rich>
      </c:tx>
      <c:overlay val="0"/>
      <c:spPr>
        <a:noFill/>
        <a:ln w="0">
          <a:noFill/>
        </a:ln>
      </c:spPr>
    </c:title>
    <c:autoTitleDeleted val="0"/>
    <c:plotArea>
      <c:barChart>
        <c:barDir val="col"/>
        <c:grouping val="clustered"/>
        <c:varyColors val="0"/>
        <c:ser>
          <c:idx val="0"/>
          <c:order val="0"/>
          <c:tx>
            <c:strRef>
              <c:f>Visuals!B12</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Visuals!$A$13:$A$16</c:f>
              <c:strCache>
                <c:ptCount val="4"/>
                <c:pt idx="0">
                  <c:v>Foundation</c:v>
                </c:pt>
                <c:pt idx="1">
                  <c:v>Enablers</c:v>
                </c:pt>
                <c:pt idx="2">
                  <c:v>Transformation</c:v>
                </c:pt>
                <c:pt idx="3">
                  <c:v>Outcomes</c:v>
                </c:pt>
              </c:strCache>
            </c:strRef>
          </c:cat>
          <c:val>
            <c:numRef>
              <c:f>Visuals!$B$13:$B$16</c:f>
              <c:numCache>
                <c:formatCode>General</c:formatCode>
                <c:ptCount val="4"/>
                <c:pt idx="0">
                  <c:v>2.5</c:v>
                </c:pt>
                <c:pt idx="1">
                  <c:v>2.62</c:v>
                </c:pt>
                <c:pt idx="2">
                  <c:v>2.71</c:v>
                </c:pt>
                <c:pt idx="3">
                  <c:v>3.25</c:v>
                </c:pt>
              </c:numCache>
            </c:numRef>
          </c:val>
        </c:ser>
        <c:gapWidth val="150"/>
        <c:overlap val="0"/>
        <c:axId val="17662326"/>
        <c:axId val="64937031"/>
      </c:barChart>
      <c:catAx>
        <c:axId val="1766232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4937031"/>
        <c:crosses val="autoZero"/>
        <c:auto val="1"/>
        <c:lblAlgn val="ctr"/>
        <c:lblOffset val="100"/>
        <c:noMultiLvlLbl val="0"/>
      </c:catAx>
      <c:valAx>
        <c:axId val="64937031"/>
        <c:scaling>
          <c:orientation val="minMax"/>
          <c:max val="5"/>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766232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Indicators by level</a:t>
            </a:r>
          </a:p>
        </c:rich>
      </c:tx>
      <c:overlay val="0"/>
      <c:spPr>
        <a:noFill/>
        <a:ln w="0">
          <a:noFill/>
        </a:ln>
      </c:spPr>
    </c:title>
    <c:autoTitleDeleted val="0"/>
    <c:plotArea>
      <c:barChart>
        <c:barDir val="col"/>
        <c:grouping val="clustered"/>
        <c:varyColors val="0"/>
        <c:ser>
          <c:idx val="0"/>
          <c:order val="0"/>
          <c:tx>
            <c:strRef>
              <c:f>Visuals!B18</c:f>
              <c:strCache>
                <c:ptCount val="1"/>
                <c:pt idx="0">
                  <c:v>Indicators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Visuals!$A$19:$A$23</c:f>
              <c:strCache>
                <c:ptCount val="5"/>
                <c:pt idx="0">
                  <c:v>Level 1</c:v>
                </c:pt>
                <c:pt idx="1">
                  <c:v>Level 2</c:v>
                </c:pt>
                <c:pt idx="2">
                  <c:v>Level 3</c:v>
                </c:pt>
                <c:pt idx="3">
                  <c:v>Level 4</c:v>
                </c:pt>
                <c:pt idx="4">
                  <c:v>Level 5</c:v>
                </c:pt>
              </c:strCache>
            </c:strRef>
          </c:cat>
          <c:val>
            <c:numRef>
              <c:f>Visuals!$B$19:$B$23</c:f>
              <c:numCache>
                <c:formatCode>General</c:formatCode>
                <c:ptCount val="5"/>
                <c:pt idx="0">
                  <c:v>8</c:v>
                </c:pt>
                <c:pt idx="1">
                  <c:v>9</c:v>
                </c:pt>
                <c:pt idx="2">
                  <c:v>21</c:v>
                </c:pt>
                <c:pt idx="3">
                  <c:v>7</c:v>
                </c:pt>
                <c:pt idx="4">
                  <c:v>1</c:v>
                </c:pt>
              </c:numCache>
            </c:numRef>
          </c:val>
        </c:ser>
        <c:gapWidth val="150"/>
        <c:overlap val="0"/>
        <c:axId val="94443322"/>
        <c:axId val="84119735"/>
      </c:barChart>
      <c:catAx>
        <c:axId val="9444332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4119735"/>
        <c:crosses val="autoZero"/>
        <c:auto val="1"/>
        <c:lblAlgn val="ctr"/>
        <c:lblOffset val="100"/>
        <c:noMultiLvlLbl val="0"/>
      </c:catAx>
      <c:valAx>
        <c:axId val="84119735"/>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444332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vintage</a:t>
            </a:r>
          </a:p>
        </c:rich>
      </c:tx>
      <c:overlay val="0"/>
      <c:spPr>
        <a:noFill/>
        <a:ln w="0">
          <a:noFill/>
        </a:ln>
      </c:spPr>
    </c:title>
    <c:autoTitleDeleted val="0"/>
    <c:plotArea>
      <c:barChart>
        <c:barDir val="col"/>
        <c:grouping val="clustered"/>
        <c:varyColors val="0"/>
        <c:ser>
          <c:idx val="0"/>
          <c:order val="0"/>
          <c:tx>
            <c:strRef>
              <c:f>Visuals!B25</c:f>
              <c:strCache>
                <c:ptCount val="1"/>
                <c:pt idx="0">
                  <c:v>Readings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Visuals!$A$26:$A$35</c:f>
              <c:strCache>
                <c:ptCount val="10"/>
                <c:pt idx="0">
                  <c:v>2011</c:v>
                </c:pt>
                <c:pt idx="1">
                  <c:v>2013</c:v>
                </c:pt>
                <c:pt idx="2">
                  <c:v>2017</c:v>
                </c:pt>
                <c:pt idx="3">
                  <c:v>2019</c:v>
                </c:pt>
                <c:pt idx="4">
                  <c:v>2021</c:v>
                </c:pt>
                <c:pt idx="5">
                  <c:v>2022</c:v>
                </c:pt>
                <c:pt idx="6">
                  <c:v>2023</c:v>
                </c:pt>
                <c:pt idx="7">
                  <c:v>2024</c:v>
                </c:pt>
                <c:pt idx="8">
                  <c:v>2025</c:v>
                </c:pt>
                <c:pt idx="9">
                  <c:v>2026</c:v>
                </c:pt>
              </c:strCache>
            </c:strRef>
          </c:cat>
          <c:val>
            <c:numRef>
              <c:f>Visuals!$B$26:$B$35</c:f>
              <c:numCache>
                <c:formatCode>General</c:formatCode>
                <c:ptCount val="10"/>
                <c:pt idx="0">
                  <c:v>1</c:v>
                </c:pt>
                <c:pt idx="1">
                  <c:v>2</c:v>
                </c:pt>
                <c:pt idx="2">
                  <c:v>0</c:v>
                </c:pt>
                <c:pt idx="3">
                  <c:v>2</c:v>
                </c:pt>
                <c:pt idx="4">
                  <c:v>2</c:v>
                </c:pt>
                <c:pt idx="5">
                  <c:v>4</c:v>
                </c:pt>
                <c:pt idx="6">
                  <c:v>1</c:v>
                </c:pt>
                <c:pt idx="7">
                  <c:v>18</c:v>
                </c:pt>
                <c:pt idx="8">
                  <c:v>9</c:v>
                </c:pt>
                <c:pt idx="9">
                  <c:v>14</c:v>
                </c:pt>
              </c:numCache>
            </c:numRef>
          </c:val>
        </c:ser>
        <c:gapWidth val="150"/>
        <c:overlap val="0"/>
        <c:axId val="81968974"/>
        <c:axId val="97266344"/>
      </c:barChart>
      <c:catAx>
        <c:axId val="8196897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7266344"/>
        <c:crosses val="autoZero"/>
        <c:auto val="1"/>
        <c:lblAlgn val="ctr"/>
        <c:lblOffset val="100"/>
        <c:noMultiLvlLbl val="0"/>
      </c:catAx>
      <c:valAx>
        <c:axId val="9726634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196897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13</xdr:col>
      <xdr:colOff>290520</xdr:colOff>
      <xdr:row>19</xdr:row>
      <xdr:rowOff>1080</xdr:rowOff>
    </xdr:to>
    <xdr:graphicFrame>
      <xdr:nvGraphicFramePr>
        <xdr:cNvPr id="1" name="Chart 1"/>
        <xdr:cNvGraphicFramePr/>
      </xdr:nvGraphicFramePr>
      <xdr:xfrm>
        <a:off x="7307640" y="410760"/>
        <a:ext cx="39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21</xdr:row>
      <xdr:rowOff>0</xdr:rowOff>
    </xdr:from>
    <xdr:to>
      <xdr:col>13</xdr:col>
      <xdr:colOff>290520</xdr:colOff>
      <xdr:row>38</xdr:row>
      <xdr:rowOff>1080</xdr:rowOff>
    </xdr:to>
    <xdr:graphicFrame>
      <xdr:nvGraphicFramePr>
        <xdr:cNvPr id="2" name="Chart 2"/>
        <xdr:cNvGraphicFramePr/>
      </xdr:nvGraphicFramePr>
      <xdr:xfrm>
        <a:off x="7307640" y="4030200"/>
        <a:ext cx="395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40</xdr:row>
      <xdr:rowOff>0</xdr:rowOff>
    </xdr:from>
    <xdr:to>
      <xdr:col>13</xdr:col>
      <xdr:colOff>290520</xdr:colOff>
      <xdr:row>57</xdr:row>
      <xdr:rowOff>1440</xdr:rowOff>
    </xdr:to>
    <xdr:graphicFrame>
      <xdr:nvGraphicFramePr>
        <xdr:cNvPr id="3" name="Chart 3"/>
        <xdr:cNvGraphicFramePr/>
      </xdr:nvGraphicFramePr>
      <xdr:xfrm>
        <a:off x="7307640" y="7650000"/>
        <a:ext cx="395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0</xdr:colOff>
      <xdr:row>2</xdr:row>
      <xdr:rowOff>0</xdr:rowOff>
    </xdr:from>
    <xdr:to>
      <xdr:col>23</xdr:col>
      <xdr:colOff>542160</xdr:colOff>
      <xdr:row>17</xdr:row>
      <xdr:rowOff>21960</xdr:rowOff>
    </xdr:to>
    <xdr:graphicFrame>
      <xdr:nvGraphicFramePr>
        <xdr:cNvPr id="4" name="Chart 4"/>
        <xdr:cNvGraphicFramePr/>
      </xdr:nvGraphicFramePr>
      <xdr:xfrm>
        <a:off x="14034240" y="410760"/>
        <a:ext cx="359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18</xdr:col>
      <xdr:colOff>0</xdr:colOff>
      <xdr:row>19</xdr:row>
      <xdr:rowOff>0</xdr:rowOff>
    </xdr:from>
    <xdr:to>
      <xdr:col>23</xdr:col>
      <xdr:colOff>542160</xdr:colOff>
      <xdr:row>34</xdr:row>
      <xdr:rowOff>21960</xdr:rowOff>
    </xdr:to>
    <xdr:graphicFrame>
      <xdr:nvGraphicFramePr>
        <xdr:cNvPr id="5" name="Chart 5"/>
        <xdr:cNvGraphicFramePr/>
      </xdr:nvGraphicFramePr>
      <xdr:xfrm>
        <a:off x="14034240" y="3649320"/>
        <a:ext cx="359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0</xdr:colOff>
      <xdr:row>36</xdr:row>
      <xdr:rowOff>0</xdr:rowOff>
    </xdr:from>
    <xdr:to>
      <xdr:col>23</xdr:col>
      <xdr:colOff>542160</xdr:colOff>
      <xdr:row>51</xdr:row>
      <xdr:rowOff>22320</xdr:rowOff>
    </xdr:to>
    <xdr:graphicFrame>
      <xdr:nvGraphicFramePr>
        <xdr:cNvPr id="6" name="Chart 6"/>
        <xdr:cNvGraphicFramePr/>
      </xdr:nvGraphicFramePr>
      <xdr:xfrm>
        <a:off x="14034240" y="6887880"/>
        <a:ext cx="359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H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
    <col collapsed="false" customWidth="true" hidden="false" outlineLevel="0" max="3" min="3" style="0" width="26"/>
    <col collapsed="false" customWidth="true" hidden="false" outlineLevel="0" max="4" min="4" style="0" width="30"/>
    <col collapsed="false" customWidth="true" hidden="false" outlineLevel="0" max="7" min="5" style="0" width="17"/>
    <col collapsed="false" customWidth="true" hidden="false" outlineLevel="0" max="8" min="8" style="0" width="34"/>
  </cols>
  <sheetData>
    <row r="2" customFormat="false" ht="17.35" hidden="false" customHeight="false" outlineLevel="0" collapsed="false">
      <c r="C2" s="1" t="s">
        <v>0</v>
      </c>
    </row>
    <row r="3" customFormat="false" ht="15" hidden="false" customHeight="false" outlineLevel="0" collapsed="false">
      <c r="C3" s="2" t="s">
        <v>1</v>
      </c>
    </row>
    <row r="5" customFormat="false" ht="15" hidden="false" customHeight="false" outlineLevel="0" collapsed="false">
      <c r="C5" s="3" t="s">
        <v>2</v>
      </c>
    </row>
    <row r="7" customFormat="false" ht="15" hidden="false" customHeight="false" outlineLevel="0" collapsed="false">
      <c r="C7" s="4" t="s">
        <v>3</v>
      </c>
    </row>
    <row r="8" customFormat="false" ht="39.75" hidden="false" customHeight="true" outlineLevel="0" collapsed="false">
      <c r="C8" s="5" t="s">
        <v>4</v>
      </c>
      <c r="D8" s="6" t="s">
        <v>5</v>
      </c>
      <c r="E8" s="6"/>
      <c r="F8" s="6"/>
      <c r="G8" s="6"/>
      <c r="H8" s="6"/>
    </row>
    <row r="9" customFormat="false" ht="39.75" hidden="false" customHeight="true" outlineLevel="0" collapsed="false">
      <c r="C9" s="5" t="s">
        <v>6</v>
      </c>
      <c r="D9" s="6" t="s">
        <v>7</v>
      </c>
      <c r="E9" s="6"/>
      <c r="F9" s="6"/>
      <c r="G9" s="6"/>
      <c r="H9" s="6"/>
    </row>
    <row r="10" customFormat="false" ht="39.75" hidden="false" customHeight="true" outlineLevel="0" collapsed="false">
      <c r="C10" s="5" t="s">
        <v>8</v>
      </c>
      <c r="D10" s="6" t="s">
        <v>9</v>
      </c>
      <c r="E10" s="6"/>
      <c r="F10" s="6"/>
      <c r="G10" s="6"/>
      <c r="H10" s="6"/>
    </row>
    <row r="11" customFormat="false" ht="39.75" hidden="false" customHeight="true" outlineLevel="0" collapsed="false">
      <c r="C11" s="5" t="s">
        <v>10</v>
      </c>
      <c r="D11" s="6" t="s">
        <v>11</v>
      </c>
      <c r="E11" s="6"/>
      <c r="F11" s="6"/>
      <c r="G11" s="6"/>
      <c r="H11" s="6"/>
    </row>
    <row r="13" customFormat="false" ht="15" hidden="false" customHeight="false" outlineLevel="0" collapsed="false">
      <c r="C13" s="4" t="s">
        <v>12</v>
      </c>
    </row>
    <row r="14" customFormat="false" ht="30" hidden="false" customHeight="true" outlineLevel="0" collapsed="false">
      <c r="C14" s="5" t="s">
        <v>13</v>
      </c>
      <c r="D14" s="6" t="s">
        <v>14</v>
      </c>
      <c r="E14" s="6"/>
      <c r="F14" s="6"/>
      <c r="G14" s="6"/>
      <c r="H14" s="6"/>
    </row>
    <row r="15" customFormat="false" ht="30" hidden="false" customHeight="true" outlineLevel="0" collapsed="false">
      <c r="C15" s="5" t="s">
        <v>15</v>
      </c>
      <c r="D15" s="6" t="s">
        <v>16</v>
      </c>
      <c r="E15" s="6"/>
      <c r="F15" s="6"/>
      <c r="G15" s="6"/>
      <c r="H15" s="6"/>
    </row>
    <row r="16" customFormat="false" ht="30" hidden="false" customHeight="true" outlineLevel="0" collapsed="false">
      <c r="C16" s="5" t="s">
        <v>17</v>
      </c>
      <c r="D16" s="6" t="s">
        <v>18</v>
      </c>
      <c r="E16" s="6"/>
      <c r="F16" s="6"/>
      <c r="G16" s="6"/>
      <c r="H16" s="6"/>
    </row>
    <row r="17" customFormat="false" ht="30" hidden="false" customHeight="true" outlineLevel="0" collapsed="false">
      <c r="C17" s="5" t="s">
        <v>19</v>
      </c>
      <c r="D17" s="6" t="s">
        <v>20</v>
      </c>
      <c r="E17" s="6"/>
      <c r="F17" s="6"/>
      <c r="G17" s="6"/>
      <c r="H17" s="6"/>
    </row>
    <row r="18" customFormat="false" ht="30" hidden="false" customHeight="true" outlineLevel="0" collapsed="false">
      <c r="C18" s="5" t="s">
        <v>21</v>
      </c>
      <c r="D18" s="6" t="s">
        <v>22</v>
      </c>
      <c r="E18" s="6"/>
      <c r="F18" s="6"/>
      <c r="G18" s="6"/>
      <c r="H18" s="6"/>
    </row>
    <row r="20" customFormat="false" ht="15" hidden="false" customHeight="false" outlineLevel="0" collapsed="false">
      <c r="C20" s="4" t="s">
        <v>23</v>
      </c>
    </row>
    <row r="21" customFormat="false" ht="25.5" hidden="false" customHeight="true" outlineLevel="0" collapsed="false">
      <c r="D21" s="7" t="s">
        <v>24</v>
      </c>
      <c r="E21" s="7"/>
      <c r="F21" s="7"/>
      <c r="G21" s="7"/>
      <c r="H21" s="7"/>
    </row>
    <row r="22" customFormat="false" ht="15" hidden="false" customHeight="false" outlineLevel="0" collapsed="false">
      <c r="C22" s="8" t="s">
        <v>25</v>
      </c>
      <c r="D22" s="8" t="s">
        <v>26</v>
      </c>
      <c r="E22" s="8" t="s">
        <v>27</v>
      </c>
      <c r="F22" s="8" t="s">
        <v>28</v>
      </c>
      <c r="G22" s="8" t="s">
        <v>29</v>
      </c>
    </row>
    <row r="23" customFormat="false" ht="57.75" hidden="false" customHeight="true" outlineLevel="0" collapsed="false">
      <c r="C23" s="9" t="s">
        <v>30</v>
      </c>
      <c r="D23" s="10" t="s">
        <v>31</v>
      </c>
      <c r="E23" s="11"/>
      <c r="F23" s="11"/>
      <c r="G23" s="11"/>
    </row>
    <row r="24" customFormat="false" ht="57.75" hidden="false" customHeight="true" outlineLevel="0" collapsed="false">
      <c r="C24" s="9" t="s">
        <v>32</v>
      </c>
      <c r="D24" s="10" t="s">
        <v>33</v>
      </c>
      <c r="E24" s="11"/>
      <c r="F24" s="11"/>
      <c r="G24" s="11"/>
    </row>
    <row r="25" customFormat="false" ht="57.75" hidden="false" customHeight="true" outlineLevel="0" collapsed="false">
      <c r="C25" s="9" t="s">
        <v>34</v>
      </c>
      <c r="D25" s="10" t="s">
        <v>35</v>
      </c>
      <c r="E25" s="11"/>
      <c r="F25" s="11"/>
      <c r="G25" s="11"/>
    </row>
    <row r="27" customFormat="false" ht="15" hidden="false" customHeight="false" outlineLevel="0" collapsed="false">
      <c r="C27" s="4" t="s">
        <v>36</v>
      </c>
    </row>
    <row r="28" customFormat="false" ht="15" hidden="false" customHeight="false" outlineLevel="0" collapsed="false">
      <c r="D28" s="3" t="s">
        <v>37</v>
      </c>
    </row>
    <row r="29" customFormat="false" ht="15" hidden="false" customHeight="false" outlineLevel="0" collapsed="false">
      <c r="D29" s="3" t="s">
        <v>38</v>
      </c>
    </row>
    <row r="30" customFormat="false" ht="15" hidden="false" customHeight="false" outlineLevel="0" collapsed="false">
      <c r="D30" s="3" t="s">
        <v>39</v>
      </c>
    </row>
    <row r="31" customFormat="false" ht="15" hidden="false" customHeight="false" outlineLevel="0" collapsed="false">
      <c r="D31" s="3" t="s">
        <v>40</v>
      </c>
    </row>
  </sheetData>
  <mergeCells count="10">
    <mergeCell ref="D8:H8"/>
    <mergeCell ref="D9:H9"/>
    <mergeCell ref="D10:H10"/>
    <mergeCell ref="D11:H11"/>
    <mergeCell ref="D14:H14"/>
    <mergeCell ref="D15:H15"/>
    <mergeCell ref="D16:H16"/>
    <mergeCell ref="D17:H17"/>
    <mergeCell ref="D18:H18"/>
    <mergeCell ref="D21:H2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4"/>
    <col collapsed="false" customWidth="true" hidden="false" outlineLevel="0" max="3" min="3" style="0" width="16"/>
    <col collapsed="false" customWidth="true" hidden="false" outlineLevel="0" max="4" min="4" style="0" width="78"/>
  </cols>
  <sheetData>
    <row r="1" customFormat="false" ht="17.35" hidden="false" customHeight="false" outlineLevel="0" collapsed="false">
      <c r="B1" s="1" t="s">
        <v>41</v>
      </c>
    </row>
    <row r="2" customFormat="false" ht="25.5" hidden="false" customHeight="true" outlineLevel="0" collapsed="false">
      <c r="B2" s="5" t="s">
        <v>42</v>
      </c>
      <c r="C2" s="12" t="n">
        <v>2026</v>
      </c>
      <c r="D2" s="13" t="s">
        <v>43</v>
      </c>
    </row>
    <row r="3" customFormat="false" ht="25.5" hidden="false" customHeight="true" outlineLevel="0" collapsed="false">
      <c r="B3" s="5" t="s">
        <v>44</v>
      </c>
      <c r="C3" s="12" t="n">
        <v>3</v>
      </c>
      <c r="D3" s="13" t="s">
        <v>45</v>
      </c>
    </row>
    <row r="4" customFormat="false" ht="25.5" hidden="false" customHeight="true" outlineLevel="0" collapsed="false">
      <c r="B4" s="5" t="s">
        <v>46</v>
      </c>
      <c r="C4" s="3" t="n">
        <v>2.5</v>
      </c>
      <c r="D4" s="13" t="s">
        <v>47</v>
      </c>
    </row>
    <row r="5" customFormat="false" ht="25.5" hidden="false" customHeight="true" outlineLevel="0" collapsed="false">
      <c r="B5" s="5" t="s">
        <v>48</v>
      </c>
      <c r="C5" s="3" t="n">
        <v>1.5</v>
      </c>
      <c r="D5" s="13" t="s">
        <v>49</v>
      </c>
    </row>
    <row r="6" customFormat="false" ht="25.5" hidden="false" customHeight="true" outlineLevel="0" collapsed="false">
      <c r="B6" s="5" t="s">
        <v>50</v>
      </c>
      <c r="C6" s="3" t="s">
        <v>51</v>
      </c>
      <c r="D6" s="13" t="s">
        <v>52</v>
      </c>
    </row>
    <row r="7" customFormat="false" ht="13.5" hidden="false" customHeight="true" outlineLevel="0" collapsed="false">
      <c r="B7" s="5" t="s">
        <v>53</v>
      </c>
      <c r="C7" s="3" t="s">
        <v>54</v>
      </c>
      <c r="D7" s="13"/>
    </row>
    <row r="8" customFormat="false" ht="13.5" hidden="false" customHeight="true" outlineLevel="0" collapsed="false">
      <c r="B8" s="5" t="s">
        <v>55</v>
      </c>
      <c r="C8" s="3" t="s">
        <v>56</v>
      </c>
      <c r="D8" s="13"/>
    </row>
    <row r="9" customFormat="false" ht="13.5" hidden="false" customHeight="true" outlineLevel="0" collapsed="false">
      <c r="B9" s="5" t="s">
        <v>57</v>
      </c>
      <c r="C9" s="3" t="s">
        <v>58</v>
      </c>
      <c r="D9" s="13"/>
    </row>
    <row r="10" customFormat="false" ht="13.5" hidden="false" customHeight="true" outlineLevel="0" collapsed="false">
      <c r="B10" s="5" t="s">
        <v>59</v>
      </c>
      <c r="C10" s="3" t="s">
        <v>60</v>
      </c>
      <c r="D10" s="13"/>
    </row>
    <row r="11" customFormat="false" ht="25.5" hidden="false" customHeight="true" outlineLevel="0" collapsed="false">
      <c r="B11" s="5" t="s">
        <v>61</v>
      </c>
      <c r="C11" s="3" t="s">
        <v>62</v>
      </c>
      <c r="D11" s="13" t="s">
        <v>63</v>
      </c>
    </row>
    <row r="12" customFormat="false" ht="25.5" hidden="false" customHeight="true" outlineLevel="0" collapsed="false">
      <c r="B12" s="5" t="s">
        <v>64</v>
      </c>
      <c r="C12" s="3" t="s">
        <v>65</v>
      </c>
      <c r="D12" s="13" t="s">
        <v>66</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30"/>
    <col collapsed="false" customWidth="true" hidden="false" outlineLevel="0" max="4" min="4" style="0" width="84"/>
  </cols>
  <sheetData>
    <row r="1" customFormat="false" ht="17.35" hidden="false" customHeight="false" outlineLevel="0" collapsed="false">
      <c r="B1" s="1" t="s">
        <v>67</v>
      </c>
    </row>
    <row r="2" customFormat="false" ht="15" hidden="false" customHeight="false" outlineLevel="0" collapsed="false">
      <c r="B2" s="2" t="s">
        <v>68</v>
      </c>
    </row>
    <row r="4" customFormat="false" ht="15" hidden="false" customHeight="false" outlineLevel="0" collapsed="false">
      <c r="B4" s="8" t="s">
        <v>69</v>
      </c>
      <c r="C4" s="8" t="s">
        <v>70</v>
      </c>
      <c r="D4" s="8" t="s">
        <v>71</v>
      </c>
    </row>
    <row r="5" customFormat="false" ht="30" hidden="false" customHeight="true" outlineLevel="0" collapsed="false">
      <c r="B5" s="9" t="n">
        <v>1</v>
      </c>
      <c r="C5" s="10" t="s">
        <v>72</v>
      </c>
      <c r="D5" s="10" t="s">
        <v>73</v>
      </c>
    </row>
    <row r="6" customFormat="false" ht="30" hidden="false" customHeight="true" outlineLevel="0" collapsed="false">
      <c r="B6" s="9" t="n">
        <v>2</v>
      </c>
      <c r="C6" s="10" t="s">
        <v>74</v>
      </c>
      <c r="D6" s="10" t="s">
        <v>75</v>
      </c>
    </row>
    <row r="7" customFormat="false" ht="30" hidden="false" customHeight="true" outlineLevel="0" collapsed="false">
      <c r="B7" s="9" t="n">
        <v>3</v>
      </c>
      <c r="C7" s="10" t="s">
        <v>76</v>
      </c>
      <c r="D7" s="10" t="s">
        <v>77</v>
      </c>
    </row>
    <row r="8" customFormat="false" ht="30" hidden="false" customHeight="true" outlineLevel="0" collapsed="false">
      <c r="B8" s="9" t="n">
        <v>4</v>
      </c>
      <c r="C8" s="10" t="s">
        <v>78</v>
      </c>
      <c r="D8" s="10" t="s">
        <v>79</v>
      </c>
    </row>
    <row r="9" customFormat="false" ht="30" hidden="false" customHeight="true" outlineLevel="0" collapsed="false">
      <c r="B9" s="9" t="n">
        <v>5</v>
      </c>
      <c r="C9" s="10" t="s">
        <v>80</v>
      </c>
      <c r="D9" s="10" t="s">
        <v>81</v>
      </c>
    </row>
    <row r="11" customFormat="false" ht="15" hidden="false" customHeight="false" outlineLevel="0" collapsed="false">
      <c r="B11" s="2" t="s">
        <v>82</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42"/>
    <col collapsed="false" customWidth="true" hidden="false" outlineLevel="0" max="4" min="4" style="0" width="62"/>
    <col collapsed="false" customWidth="true" hidden="false" outlineLevel="0" max="5" min="5" style="0" width="52"/>
  </cols>
  <sheetData>
    <row r="1" customFormat="false" ht="17.35" hidden="false" customHeight="false" outlineLevel="0" collapsed="false">
      <c r="B1" s="1" t="s">
        <v>83</v>
      </c>
    </row>
    <row r="2" customFormat="false" ht="15" hidden="false" customHeight="false" outlineLevel="0" collapsed="false">
      <c r="B2" s="2" t="s">
        <v>84</v>
      </c>
    </row>
    <row r="4" customFormat="false" ht="15" hidden="false" customHeight="false" outlineLevel="0" collapsed="false">
      <c r="B4" s="8" t="s">
        <v>19</v>
      </c>
      <c r="C4" s="8" t="s">
        <v>85</v>
      </c>
      <c r="D4" s="8" t="s">
        <v>86</v>
      </c>
      <c r="E4" s="8" t="s">
        <v>87</v>
      </c>
    </row>
    <row r="5" customFormat="false" ht="33.75" hidden="false" customHeight="true" outlineLevel="0" collapsed="false">
      <c r="B5" s="9" t="s">
        <v>88</v>
      </c>
      <c r="C5" s="10" t="s">
        <v>89</v>
      </c>
      <c r="D5" s="10" t="s">
        <v>90</v>
      </c>
      <c r="E5" s="10" t="s">
        <v>91</v>
      </c>
    </row>
    <row r="6" customFormat="false" ht="33.75" hidden="false" customHeight="true" outlineLevel="0" collapsed="false">
      <c r="B6" s="9" t="s">
        <v>92</v>
      </c>
      <c r="C6" s="10" t="s">
        <v>93</v>
      </c>
      <c r="D6" s="10" t="s">
        <v>94</v>
      </c>
      <c r="E6" s="10" t="s">
        <v>95</v>
      </c>
    </row>
    <row r="7" customFormat="false" ht="33.75" hidden="false" customHeight="true" outlineLevel="0" collapsed="false">
      <c r="B7" s="9" t="s">
        <v>96</v>
      </c>
      <c r="C7" s="10" t="s">
        <v>97</v>
      </c>
      <c r="D7" s="10" t="s">
        <v>98</v>
      </c>
      <c r="E7" s="10" t="s">
        <v>99</v>
      </c>
    </row>
    <row r="8" customFormat="false" ht="33.75" hidden="false" customHeight="true" outlineLevel="0" collapsed="false">
      <c r="B8" s="9" t="s">
        <v>100</v>
      </c>
      <c r="C8" s="10" t="s">
        <v>101</v>
      </c>
      <c r="D8" s="10" t="s">
        <v>102</v>
      </c>
      <c r="E8" s="10" t="s">
        <v>103</v>
      </c>
    </row>
    <row r="9" customFormat="false" ht="33.75" hidden="false" customHeight="true" outlineLevel="0" collapsed="false">
      <c r="B9" s="9" t="s">
        <v>104</v>
      </c>
      <c r="C9" s="10" t="s">
        <v>105</v>
      </c>
      <c r="D9" s="10" t="s">
        <v>106</v>
      </c>
      <c r="E9" s="10" t="s">
        <v>107</v>
      </c>
    </row>
    <row r="11" customFormat="false" ht="25.5" hidden="false" customHeight="true" outlineLevel="0" collapsed="false">
      <c r="C11" s="7" t="s">
        <v>108</v>
      </c>
      <c r="D11" s="7"/>
      <c r="E11" s="7"/>
    </row>
    <row r="12" customFormat="false" ht="25.5" hidden="false" customHeight="true" outlineLevel="0" collapsed="false">
      <c r="C12" s="7" t="s">
        <v>109</v>
      </c>
      <c r="D12" s="7"/>
      <c r="E12" s="7"/>
    </row>
    <row r="13" customFormat="false" ht="25.5" hidden="false" customHeight="true" outlineLevel="0" collapsed="false">
      <c r="C13" s="7" t="s">
        <v>110</v>
      </c>
      <c r="D13" s="7"/>
      <c r="E13" s="7"/>
    </row>
  </sheetData>
  <mergeCells count="3">
    <mergeCell ref="C11:E11"/>
    <mergeCell ref="C12:E12"/>
    <mergeCell ref="C13:E13"/>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44"/>
    <col collapsed="false" customWidth="true" hidden="false" outlineLevel="0" max="3" min="3" style="0" width="7"/>
    <col collapsed="false" customWidth="true" hidden="false" outlineLevel="0" max="4" min="4" style="0" width="15"/>
    <col collapsed="false" customWidth="true" hidden="false" outlineLevel="0" max="5" min="5" style="0" width="14"/>
    <col collapsed="false" customWidth="true" hidden="false" outlineLevel="0" max="6" min="6" style="0" width="10"/>
    <col collapsed="false" customWidth="true" hidden="false" outlineLevel="0" max="7" min="7" style="0" width="6"/>
    <col collapsed="false" customWidth="true" hidden="false" outlineLevel="0" max="8" min="8" style="0" width="5"/>
    <col collapsed="false" customWidth="true" hidden="false" outlineLevel="0" max="12" min="9" style="0" width="7"/>
    <col collapsed="false" customWidth="true" hidden="false" outlineLevel="0" max="13" min="13" style="0" width="46"/>
    <col collapsed="false" customWidth="true" hidden="false" outlineLevel="0" max="14" min="14" style="0" width="34"/>
    <col collapsed="false" customWidth="true" hidden="false" outlineLevel="0" max="15" min="15" style="0" width="30"/>
    <col collapsed="false" customWidth="true" hidden="false" outlineLevel="0" max="16" min="16" style="0" width="6"/>
    <col collapsed="false" customWidth="true" hidden="false" outlineLevel="0" max="17" min="17" style="0" width="7"/>
    <col collapsed="false" customWidth="true" hidden="false" outlineLevel="0" max="18" min="18" style="0" width="9"/>
    <col collapsed="false" customWidth="true" hidden="false" outlineLevel="0" max="19" min="19" style="0" width="12"/>
    <col collapsed="false" customWidth="true" hidden="false" outlineLevel="0" max="20" min="20" style="0" width="7"/>
    <col collapsed="false" customWidth="true" hidden="false" outlineLevel="0" max="21" min="21" style="0" width="8"/>
    <col collapsed="false" customWidth="true" hidden="true" outlineLevel="0" max="27" min="22" style="0" width="5"/>
    <col collapsed="false" customWidth="true" hidden="false" outlineLevel="0" max="28" min="28" style="0" width="78"/>
    <col collapsed="false" customWidth="true" hidden="false" outlineLevel="0" max="29" min="29" style="0" width="16"/>
  </cols>
  <sheetData>
    <row r="1" customFormat="false" ht="17.35" hidden="false" customHeight="false" outlineLevel="0" collapsed="false">
      <c r="A1" s="1" t="s">
        <v>111</v>
      </c>
    </row>
    <row r="2" customFormat="false" ht="15" hidden="false" customHeight="false" outlineLevel="0" collapsed="false">
      <c r="A2" s="2" t="s">
        <v>112</v>
      </c>
    </row>
    <row r="4" customFormat="false" ht="30" hidden="false" customHeight="true" outlineLevel="0" collapsed="false">
      <c r="A4" s="14" t="s">
        <v>113</v>
      </c>
      <c r="B4" s="14" t="s">
        <v>114</v>
      </c>
      <c r="C4" s="14" t="s">
        <v>115</v>
      </c>
      <c r="D4" s="14" t="s">
        <v>116</v>
      </c>
      <c r="E4" s="14" t="s">
        <v>117</v>
      </c>
      <c r="F4" s="14" t="s">
        <v>118</v>
      </c>
      <c r="G4" s="14" t="s">
        <v>119</v>
      </c>
      <c r="H4" s="14" t="s">
        <v>120</v>
      </c>
      <c r="I4" s="14" t="s">
        <v>121</v>
      </c>
      <c r="J4" s="14" t="s">
        <v>122</v>
      </c>
      <c r="K4" s="14" t="s">
        <v>123</v>
      </c>
      <c r="L4" s="14" t="s">
        <v>124</v>
      </c>
      <c r="M4" s="14" t="s">
        <v>17</v>
      </c>
      <c r="N4" s="14" t="s">
        <v>125</v>
      </c>
      <c r="O4" s="14" t="s">
        <v>126</v>
      </c>
      <c r="P4" s="14" t="s">
        <v>19</v>
      </c>
      <c r="Q4" s="14" t="s">
        <v>127</v>
      </c>
      <c r="R4" s="14" t="s">
        <v>21</v>
      </c>
      <c r="S4" s="14" t="s">
        <v>128</v>
      </c>
      <c r="T4" s="14" t="s">
        <v>69</v>
      </c>
      <c r="U4" s="14" t="s">
        <v>129</v>
      </c>
      <c r="V4" s="14" t="s">
        <v>130</v>
      </c>
      <c r="W4" s="14" t="s">
        <v>131</v>
      </c>
      <c r="X4" s="14" t="s">
        <v>132</v>
      </c>
      <c r="Y4" s="14" t="s">
        <v>133</v>
      </c>
      <c r="Z4" s="14" t="s">
        <v>134</v>
      </c>
      <c r="AA4" s="14" t="s">
        <v>135</v>
      </c>
      <c r="AB4" s="14" t="s">
        <v>136</v>
      </c>
      <c r="AC4" s="14" t="s">
        <v>137</v>
      </c>
    </row>
    <row r="5" customFormat="false" ht="46.25" hidden="false" customHeight="false" outlineLevel="0" collapsed="false">
      <c r="A5" s="15" t="s">
        <v>138</v>
      </c>
      <c r="B5" s="10" t="s">
        <v>139</v>
      </c>
      <c r="C5" s="15" t="s">
        <v>140</v>
      </c>
      <c r="D5" s="15" t="s">
        <v>141</v>
      </c>
      <c r="E5" s="15" t="s">
        <v>142</v>
      </c>
      <c r="F5" s="15"/>
      <c r="G5" s="15" t="s">
        <v>143</v>
      </c>
      <c r="H5" s="15" t="s">
        <v>144</v>
      </c>
      <c r="I5" s="15" t="n">
        <v>1000</v>
      </c>
      <c r="J5" s="15" t="n">
        <v>2500</v>
      </c>
      <c r="K5" s="15" t="n">
        <v>5000</v>
      </c>
      <c r="L5" s="15" t="n">
        <v>10000</v>
      </c>
      <c r="M5" s="16" t="n">
        <v>3494.89275307711</v>
      </c>
      <c r="N5" s="16" t="s">
        <v>145</v>
      </c>
      <c r="O5" s="16" t="s">
        <v>146</v>
      </c>
      <c r="P5" s="11" t="s">
        <v>88</v>
      </c>
      <c r="Q5" s="11" t="n">
        <v>2025</v>
      </c>
      <c r="R5" s="11"/>
      <c r="S5" s="15" t="str">
        <f aca="false">IF($M5="","",IF(ISNUMBER($M5),"Measured",IF(ISNUMBER(SEARCH("DATA GAP",UPPER($M5))),"Gap",IF(AND($N5&lt;&gt;"",$P5&lt;&gt;"T5"),"Documented","Judged"))))</f>
        <v>Measured</v>
      </c>
      <c r="T5" s="15" t="n">
        <f aca="false">IF($AC5&lt;&gt;"","",IF(OR($S5="",$S5="Gap"),"",IF($S5="Measured",1+IF($H5="H",IF($M5&gt;=$I5,1,0)+IF($M5&gt;=$J5,1,0)+IF($M5&gt;=$K5,1,0)+IF($M5&gt;=$L5,1,0),IF($M5&lt;=$I5,1,0)+IF($M5&lt;=$J5,1,0)+IF($M5&lt;=$K5,1,0)+IF($M5&lt;=$L5,1,0)),IF($R5&lt;&gt;"",$R5,""))))</f>
        <v>3</v>
      </c>
      <c r="U5" s="15" t="str">
        <f aca="false">IF(OR($S5="",$S5="Gap",$Q5=""),"",IF($Q5&lt;Config!$C$2-Config!$C$3,"STALE",""))</f>
        <v/>
      </c>
      <c r="V5" s="15" t="n">
        <f aca="false">IF(OR(ISNUMBER(SEARCH("ALL",$E5)),ISNUMBER(SEARCH("ADV",$E5))),1,0)</f>
        <v>0</v>
      </c>
      <c r="W5" s="15" t="n">
        <f aca="false">IF(OR(ISNUMBER(SEARCH("ALL",$E5)),ISNUMBER(SEARCH("SMF",$E5))),1,0)</f>
        <v>0</v>
      </c>
      <c r="X5" s="15" t="n">
        <f aca="false">IF(OR(ISNUMBER(SEARCH("ALL",$E5)),ISNUMBER(SEARCH("MKT",$E5))),1,0)</f>
        <v>0</v>
      </c>
      <c r="Y5" s="15" t="n">
        <f aca="false">IF(OR(ISNUMBER(SEARCH("ALL",$E5)),ISNUMBER(SEARCH("SCM",$E5))),1,0)</f>
        <v>0</v>
      </c>
      <c r="Z5" s="15" t="n">
        <f aca="false">IF(OR(ISNUMBER(SEARCH("ALL",$E5)),ISNUMBER(SEARCH("FIN",$E5))),1,0)</f>
        <v>0</v>
      </c>
      <c r="AA5" s="15" t="n">
        <f aca="false">IF(OR(ISNUMBER(SEARCH("ALL",$E5)),ISNUMBER(SEARCH("AGI",$E5))),1,0)</f>
        <v>0</v>
      </c>
      <c r="AB5" s="17" t="s">
        <v>147</v>
      </c>
    </row>
    <row r="6" customFormat="false" ht="46.25" hidden="false" customHeight="false" outlineLevel="0" collapsed="false">
      <c r="A6" s="15" t="s">
        <v>148</v>
      </c>
      <c r="B6" s="10" t="s">
        <v>149</v>
      </c>
      <c r="C6" s="15" t="s">
        <v>140</v>
      </c>
      <c r="D6" s="15" t="s">
        <v>141</v>
      </c>
      <c r="E6" s="15" t="s">
        <v>142</v>
      </c>
      <c r="F6" s="15"/>
      <c r="G6" s="15" t="s">
        <v>143</v>
      </c>
      <c r="H6" s="15" t="s">
        <v>144</v>
      </c>
      <c r="I6" s="15" t="n">
        <v>1500</v>
      </c>
      <c r="J6" s="15" t="n">
        <v>3000</v>
      </c>
      <c r="K6" s="15" t="n">
        <v>4500</v>
      </c>
      <c r="L6" s="15" t="n">
        <v>6000</v>
      </c>
      <c r="M6" s="16" t="n">
        <v>1558</v>
      </c>
      <c r="N6" s="16" t="s">
        <v>150</v>
      </c>
      <c r="O6" s="16" t="s">
        <v>151</v>
      </c>
      <c r="P6" s="11" t="s">
        <v>88</v>
      </c>
      <c r="Q6" s="11" t="n">
        <v>2024</v>
      </c>
      <c r="R6" s="11"/>
      <c r="S6" s="15" t="str">
        <f aca="false">IF($M6="","",IF(ISNUMBER($M6),"Measured",IF(ISNUMBER(SEARCH("DATA GAP",UPPER($M6))),"Gap",IF(AND($N6&lt;&gt;"",$P6&lt;&gt;"T5"),"Documented","Judged"))))</f>
        <v>Measured</v>
      </c>
      <c r="T6" s="15" t="n">
        <f aca="false">IF($AC6&lt;&gt;"","",IF(OR($S6="",$S6="Gap"),"",IF($S6="Measured",1+IF($H6="H",IF($M6&gt;=$I6,1,0)+IF($M6&gt;=$J6,1,0)+IF($M6&gt;=$K6,1,0)+IF($M6&gt;=$L6,1,0),IF($M6&lt;=$I6,1,0)+IF($M6&lt;=$J6,1,0)+IF($M6&lt;=$K6,1,0)+IF($M6&lt;=$L6,1,0)),IF($R6&lt;&gt;"",$R6,""))))</f>
        <v>2</v>
      </c>
      <c r="U6" s="15" t="str">
        <f aca="false">IF(OR($S6="",$S6="Gap",$Q6=""),"",IF($Q6&lt;Config!$C$2-Config!$C$3,"STALE",""))</f>
        <v/>
      </c>
      <c r="V6" s="15" t="n">
        <f aca="false">IF(OR(ISNUMBER(SEARCH("ALL",$E6)),ISNUMBER(SEARCH("ADV",$E6))),1,0)</f>
        <v>0</v>
      </c>
      <c r="W6" s="15" t="n">
        <f aca="false">IF(OR(ISNUMBER(SEARCH("ALL",$E6)),ISNUMBER(SEARCH("SMF",$E6))),1,0)</f>
        <v>0</v>
      </c>
      <c r="X6" s="15" t="n">
        <f aca="false">IF(OR(ISNUMBER(SEARCH("ALL",$E6)),ISNUMBER(SEARCH("MKT",$E6))),1,0)</f>
        <v>0</v>
      </c>
      <c r="Y6" s="15" t="n">
        <f aca="false">IF(OR(ISNUMBER(SEARCH("ALL",$E6)),ISNUMBER(SEARCH("SCM",$E6))),1,0)</f>
        <v>0</v>
      </c>
      <c r="Z6" s="15" t="n">
        <f aca="false">IF(OR(ISNUMBER(SEARCH("ALL",$E6)),ISNUMBER(SEARCH("FIN",$E6))),1,0)</f>
        <v>0</v>
      </c>
      <c r="AA6" s="15" t="n">
        <f aca="false">IF(OR(ISNUMBER(SEARCH("ALL",$E6)),ISNUMBER(SEARCH("AGI",$E6))),1,0)</f>
        <v>0</v>
      </c>
    </row>
    <row r="7" customFormat="false" ht="46.25" hidden="false" customHeight="false" outlineLevel="0" collapsed="false">
      <c r="A7" s="15" t="s">
        <v>152</v>
      </c>
      <c r="B7" s="10" t="s">
        <v>153</v>
      </c>
      <c r="C7" s="15" t="s">
        <v>140</v>
      </c>
      <c r="D7" s="15" t="s">
        <v>141</v>
      </c>
      <c r="E7" s="15" t="s">
        <v>142</v>
      </c>
      <c r="F7" s="15"/>
      <c r="G7" s="15" t="s">
        <v>143</v>
      </c>
      <c r="H7" s="15" t="s">
        <v>154</v>
      </c>
      <c r="I7" s="15" t="n">
        <v>45</v>
      </c>
      <c r="J7" s="15" t="n">
        <v>30</v>
      </c>
      <c r="K7" s="15" t="n">
        <v>15</v>
      </c>
      <c r="L7" s="15" t="n">
        <v>5</v>
      </c>
      <c r="M7" s="16" t="n">
        <v>33.5336954038865</v>
      </c>
      <c r="N7" s="16" t="s">
        <v>155</v>
      </c>
      <c r="O7" s="16" t="s">
        <v>156</v>
      </c>
      <c r="P7" s="11" t="s">
        <v>88</v>
      </c>
      <c r="Q7" s="11" t="n">
        <v>2025</v>
      </c>
      <c r="R7" s="11"/>
      <c r="S7" s="15" t="str">
        <f aca="false">IF($M7="","",IF(ISNUMBER($M7),"Measured",IF(ISNUMBER(SEARCH("DATA GAP",UPPER($M7))),"Gap",IF(AND($N7&lt;&gt;"",$P7&lt;&gt;"T5"),"Documented","Judged"))))</f>
        <v>Measured</v>
      </c>
      <c r="T7" s="15" t="n">
        <f aca="false">IF($AC7&lt;&gt;"","",IF(OR($S7="",$S7="Gap"),"",IF($S7="Measured",1+IF($H7="H",IF($M7&gt;=$I7,1,0)+IF($M7&gt;=$J7,1,0)+IF($M7&gt;=$K7,1,0)+IF($M7&gt;=$L7,1,0),IF($M7&lt;=$I7,1,0)+IF($M7&lt;=$J7,1,0)+IF($M7&lt;=$K7,1,0)+IF($M7&lt;=$L7,1,0)),IF($R7&lt;&gt;"",$R7,""))))</f>
        <v>2</v>
      </c>
      <c r="U7" s="15" t="str">
        <f aca="false">IF(OR($S7="",$S7="Gap",$Q7=""),"",IF($Q7&lt;Config!$C$2-Config!$C$3,"STALE",""))</f>
        <v/>
      </c>
      <c r="V7" s="15" t="n">
        <f aca="false">IF(OR(ISNUMBER(SEARCH("ALL",$E7)),ISNUMBER(SEARCH("ADV",$E7))),1,0)</f>
        <v>0</v>
      </c>
      <c r="W7" s="15" t="n">
        <f aca="false">IF(OR(ISNUMBER(SEARCH("ALL",$E7)),ISNUMBER(SEARCH("SMF",$E7))),1,0)</f>
        <v>0</v>
      </c>
      <c r="X7" s="15" t="n">
        <f aca="false">IF(OR(ISNUMBER(SEARCH("ALL",$E7)),ISNUMBER(SEARCH("MKT",$E7))),1,0)</f>
        <v>0</v>
      </c>
      <c r="Y7" s="15" t="n">
        <f aca="false">IF(OR(ISNUMBER(SEARCH("ALL",$E7)),ISNUMBER(SEARCH("SCM",$E7))),1,0)</f>
        <v>0</v>
      </c>
      <c r="Z7" s="15" t="n">
        <f aca="false">IF(OR(ISNUMBER(SEARCH("ALL",$E7)),ISNUMBER(SEARCH("FIN",$E7))),1,0)</f>
        <v>0</v>
      </c>
      <c r="AA7" s="15" t="n">
        <f aca="false">IF(OR(ISNUMBER(SEARCH("ALL",$E7)),ISNUMBER(SEARCH("AGI",$E7))),1,0)</f>
        <v>0</v>
      </c>
      <c r="AB7" s="17" t="s">
        <v>157</v>
      </c>
    </row>
    <row r="8" customFormat="false" ht="46.25" hidden="false" customHeight="false" outlineLevel="0" collapsed="false">
      <c r="A8" s="15" t="s">
        <v>158</v>
      </c>
      <c r="B8" s="10" t="s">
        <v>159</v>
      </c>
      <c r="C8" s="15" t="s">
        <v>140</v>
      </c>
      <c r="D8" s="15" t="s">
        <v>141</v>
      </c>
      <c r="E8" s="15" t="s">
        <v>142</v>
      </c>
      <c r="F8" s="15"/>
      <c r="G8" s="15" t="s">
        <v>143</v>
      </c>
      <c r="H8" s="15" t="s">
        <v>144</v>
      </c>
      <c r="I8" s="15" t="n">
        <v>95</v>
      </c>
      <c r="J8" s="15" t="n">
        <v>105</v>
      </c>
      <c r="K8" s="15" t="n">
        <v>115</v>
      </c>
      <c r="L8" s="15" t="n">
        <v>130</v>
      </c>
      <c r="M8" s="16" t="n">
        <v>119.85</v>
      </c>
      <c r="N8" s="16" t="s">
        <v>160</v>
      </c>
      <c r="O8" s="16" t="s">
        <v>161</v>
      </c>
      <c r="P8" s="11" t="s">
        <v>88</v>
      </c>
      <c r="Q8" s="11" t="n">
        <v>2022</v>
      </c>
      <c r="R8" s="11"/>
      <c r="S8" s="15" t="str">
        <f aca="false">IF($M8="","",IF(ISNUMBER($M8),"Measured",IF(ISNUMBER(SEARCH("DATA GAP",UPPER($M8))),"Gap",IF(AND($N8&lt;&gt;"",$P8&lt;&gt;"T5"),"Documented","Judged"))))</f>
        <v>Measured</v>
      </c>
      <c r="T8" s="15" t="n">
        <f aca="false">IF($AC8&lt;&gt;"","",IF(OR($S8="",$S8="Gap"),"",IF($S8="Measured",1+IF($H8="H",IF($M8&gt;=$I8,1,0)+IF($M8&gt;=$J8,1,0)+IF($M8&gt;=$K8,1,0)+IF($M8&gt;=$L8,1,0),IF($M8&lt;=$I8,1,0)+IF($M8&lt;=$J8,1,0)+IF($M8&lt;=$K8,1,0)+IF($M8&lt;=$L8,1,0)),IF($R8&lt;&gt;"",$R8,""))))</f>
        <v>4</v>
      </c>
      <c r="U8" s="15" t="str">
        <f aca="false">IF(OR($S8="",$S8="Gap",$Q8=""),"",IF($Q8&lt;Config!$C$2-Config!$C$3,"STALE",""))</f>
        <v>STALE</v>
      </c>
      <c r="V8" s="15" t="n">
        <f aca="false">IF(OR(ISNUMBER(SEARCH("ALL",$E8)),ISNUMBER(SEARCH("ADV",$E8))),1,0)</f>
        <v>0</v>
      </c>
      <c r="W8" s="15" t="n">
        <f aca="false">IF(OR(ISNUMBER(SEARCH("ALL",$E8)),ISNUMBER(SEARCH("SMF",$E8))),1,0)</f>
        <v>0</v>
      </c>
      <c r="X8" s="15" t="n">
        <f aca="false">IF(OR(ISNUMBER(SEARCH("ALL",$E8)),ISNUMBER(SEARCH("MKT",$E8))),1,0)</f>
        <v>0</v>
      </c>
      <c r="Y8" s="15" t="n">
        <f aca="false">IF(OR(ISNUMBER(SEARCH("ALL",$E8)),ISNUMBER(SEARCH("SCM",$E8))),1,0)</f>
        <v>0</v>
      </c>
      <c r="Z8" s="15" t="n">
        <f aca="false">IF(OR(ISNUMBER(SEARCH("ALL",$E8)),ISNUMBER(SEARCH("FIN",$E8))),1,0)</f>
        <v>0</v>
      </c>
      <c r="AA8" s="15" t="n">
        <f aca="false">IF(OR(ISNUMBER(SEARCH("ALL",$E8)),ISNUMBER(SEARCH("AGI",$E8))),1,0)</f>
        <v>0</v>
      </c>
    </row>
    <row r="9" customFormat="false" ht="57.45" hidden="false" customHeight="false" outlineLevel="0" collapsed="false">
      <c r="A9" s="15" t="s">
        <v>162</v>
      </c>
      <c r="B9" s="10" t="s">
        <v>163</v>
      </c>
      <c r="C9" s="15" t="s">
        <v>140</v>
      </c>
      <c r="D9" s="15" t="s">
        <v>141</v>
      </c>
      <c r="E9" s="15" t="s">
        <v>142</v>
      </c>
      <c r="F9" s="15"/>
      <c r="G9" s="15" t="s">
        <v>143</v>
      </c>
      <c r="H9" s="15" t="s">
        <v>154</v>
      </c>
      <c r="I9" s="15" t="n">
        <v>30</v>
      </c>
      <c r="J9" s="15" t="n">
        <v>20</v>
      </c>
      <c r="K9" s="15" t="n">
        <v>12</v>
      </c>
      <c r="L9" s="15" t="n">
        <v>5</v>
      </c>
      <c r="M9" s="16" t="s">
        <v>164</v>
      </c>
      <c r="N9" s="16" t="s">
        <v>165</v>
      </c>
      <c r="O9" s="16" t="s">
        <v>166</v>
      </c>
      <c r="P9" s="11" t="s">
        <v>88</v>
      </c>
      <c r="Q9" s="11" t="n">
        <v>2022</v>
      </c>
      <c r="R9" s="11" t="n">
        <v>3</v>
      </c>
      <c r="S9" s="15" t="str">
        <f aca="false">IF($M9="","",IF(ISNUMBER($M9),"Measured",IF(ISNUMBER(SEARCH("DATA GAP",UPPER($M9))),"Gap",IF(AND($N9&lt;&gt;"",$P9&lt;&gt;"T5"),"Documented","Judged"))))</f>
        <v>Documented</v>
      </c>
      <c r="T9" s="15" t="n">
        <f aca="false">IF($AC9&lt;&gt;"","",IF(OR($S9="",$S9="Gap"),"",IF($S9="Measured",1+IF($H9="H",IF($M9&gt;=$I9,1,0)+IF($M9&gt;=$J9,1,0)+IF($M9&gt;=$K9,1,0)+IF($M9&gt;=$L9,1,0),IF($M9&lt;=$I9,1,0)+IF($M9&lt;=$J9,1,0)+IF($M9&lt;=$K9,1,0)+IF($M9&lt;=$L9,1,0)),IF($R9&lt;&gt;"",$R9,""))))</f>
        <v>3</v>
      </c>
      <c r="U9" s="15" t="str">
        <f aca="false">IF(OR($S9="",$S9="Gap",$Q9=""),"",IF($Q9&lt;Config!$C$2-Config!$C$3,"STALE",""))</f>
        <v>STALE</v>
      </c>
      <c r="V9" s="15" t="n">
        <f aca="false">IF(OR(ISNUMBER(SEARCH("ALL",$E9)),ISNUMBER(SEARCH("ADV",$E9))),1,0)</f>
        <v>0</v>
      </c>
      <c r="W9" s="15" t="n">
        <f aca="false">IF(OR(ISNUMBER(SEARCH("ALL",$E9)),ISNUMBER(SEARCH("SMF",$E9))),1,0)</f>
        <v>0</v>
      </c>
      <c r="X9" s="15" t="n">
        <f aca="false">IF(OR(ISNUMBER(SEARCH("ALL",$E9)),ISNUMBER(SEARCH("MKT",$E9))),1,0)</f>
        <v>0</v>
      </c>
      <c r="Y9" s="15" t="n">
        <f aca="false">IF(OR(ISNUMBER(SEARCH("ALL",$E9)),ISNUMBER(SEARCH("SCM",$E9))),1,0)</f>
        <v>0</v>
      </c>
      <c r="Z9" s="15" t="n">
        <f aca="false">IF(OR(ISNUMBER(SEARCH("ALL",$E9)),ISNUMBER(SEARCH("FIN",$E9))),1,0)</f>
        <v>0</v>
      </c>
      <c r="AA9" s="15" t="n">
        <f aca="false">IF(OR(ISNUMBER(SEARCH("ALL",$E9)),ISNUMBER(SEARCH("AGI",$E9))),1,0)</f>
        <v>0</v>
      </c>
      <c r="AB9" s="17" t="s">
        <v>167</v>
      </c>
    </row>
    <row r="10" customFormat="false" ht="57.45" hidden="false" customHeight="false" outlineLevel="0" collapsed="false">
      <c r="A10" s="15" t="s">
        <v>168</v>
      </c>
      <c r="B10" s="10" t="s">
        <v>169</v>
      </c>
      <c r="C10" s="15" t="s">
        <v>140</v>
      </c>
      <c r="D10" s="15" t="s">
        <v>141</v>
      </c>
      <c r="E10" s="15" t="s">
        <v>170</v>
      </c>
      <c r="F10" s="15"/>
      <c r="G10" s="15" t="s">
        <v>143</v>
      </c>
      <c r="H10" s="15" t="s">
        <v>144</v>
      </c>
      <c r="I10" s="15" t="n">
        <v>20</v>
      </c>
      <c r="J10" s="15" t="n">
        <v>40</v>
      </c>
      <c r="K10" s="15" t="n">
        <v>60</v>
      </c>
      <c r="L10" s="15" t="n">
        <v>80</v>
      </c>
      <c r="M10" s="16" t="s">
        <v>171</v>
      </c>
      <c r="N10" s="16" t="s">
        <v>172</v>
      </c>
      <c r="O10" s="16" t="s">
        <v>173</v>
      </c>
      <c r="P10" s="11" t="s">
        <v>92</v>
      </c>
      <c r="Q10" s="11" t="n">
        <v>2013</v>
      </c>
      <c r="R10" s="11" t="n">
        <v>1</v>
      </c>
      <c r="S10" s="15" t="str">
        <f aca="false">IF($M10="","",IF(ISNUMBER($M10),"Measured",IF(ISNUMBER(SEARCH("DATA GAP",UPPER($M10))),"Gap",IF(AND($N10&lt;&gt;"",$P10&lt;&gt;"T5"),"Documented","Judged"))))</f>
        <v>Documented</v>
      </c>
      <c r="T10" s="15" t="n">
        <f aca="false">IF($AC10&lt;&gt;"","",IF(OR($S10="",$S10="Gap"),"",IF($S10="Measured",1+IF($H10="H",IF($M10&gt;=$I10,1,0)+IF($M10&gt;=$J10,1,0)+IF($M10&gt;=$K10,1,0)+IF($M10&gt;=$L10,1,0),IF($M10&lt;=$I10,1,0)+IF($M10&lt;=$J10,1,0)+IF($M10&lt;=$K10,1,0)+IF($M10&lt;=$L10,1,0)),IF($R10&lt;&gt;"",$R10,""))))</f>
        <v>1</v>
      </c>
      <c r="U10" s="15" t="str">
        <f aca="false">IF(OR($S10="",$S10="Gap",$Q10=""),"",IF($Q10&lt;Config!$C$2-Config!$C$3,"STALE",""))</f>
        <v>STALE</v>
      </c>
      <c r="V10" s="15" t="n">
        <f aca="false">IF(OR(ISNUMBER(SEARCH("ALL",$E10)),ISNUMBER(SEARCH("ADV",$E10))),1,0)</f>
        <v>0</v>
      </c>
      <c r="W10" s="15" t="n">
        <f aca="false">IF(OR(ISNUMBER(SEARCH("ALL",$E10)),ISNUMBER(SEARCH("SMF",$E10))),1,0)</f>
        <v>0</v>
      </c>
      <c r="X10" s="15" t="n">
        <f aca="false">IF(OR(ISNUMBER(SEARCH("ALL",$E10)),ISNUMBER(SEARCH("MKT",$E10))),1,0)</f>
        <v>1</v>
      </c>
      <c r="Y10" s="15" t="n">
        <f aca="false">IF(OR(ISNUMBER(SEARCH("ALL",$E10)),ISNUMBER(SEARCH("SCM",$E10))),1,0)</f>
        <v>0</v>
      </c>
      <c r="Z10" s="15" t="n">
        <f aca="false">IF(OR(ISNUMBER(SEARCH("ALL",$E10)),ISNUMBER(SEARCH("FIN",$E10))),1,0)</f>
        <v>0</v>
      </c>
      <c r="AA10" s="15" t="n">
        <f aca="false">IF(OR(ISNUMBER(SEARCH("ALL",$E10)),ISNUMBER(SEARCH("AGI",$E10))),1,0)</f>
        <v>0</v>
      </c>
      <c r="AB10" s="17" t="s">
        <v>174</v>
      </c>
    </row>
    <row r="11" customFormat="false" ht="57.45" hidden="false" customHeight="false" outlineLevel="0" collapsed="false">
      <c r="A11" s="15" t="s">
        <v>175</v>
      </c>
      <c r="B11" s="10" t="s">
        <v>176</v>
      </c>
      <c r="C11" s="15" t="s">
        <v>140</v>
      </c>
      <c r="D11" s="15" t="s">
        <v>141</v>
      </c>
      <c r="E11" s="15" t="s">
        <v>177</v>
      </c>
      <c r="F11" s="15"/>
      <c r="G11" s="15" t="s">
        <v>143</v>
      </c>
      <c r="H11" s="15" t="s">
        <v>144</v>
      </c>
      <c r="I11" s="15" t="n">
        <v>10</v>
      </c>
      <c r="J11" s="15" t="n">
        <v>25</v>
      </c>
      <c r="K11" s="15" t="n">
        <v>40</v>
      </c>
      <c r="L11" s="15" t="n">
        <v>60</v>
      </c>
      <c r="M11" s="16" t="s">
        <v>178</v>
      </c>
      <c r="N11" s="16" t="s">
        <v>172</v>
      </c>
      <c r="O11" s="16" t="s">
        <v>173</v>
      </c>
      <c r="P11" s="11" t="s">
        <v>92</v>
      </c>
      <c r="Q11" s="11" t="n">
        <v>2013</v>
      </c>
      <c r="R11" s="11" t="n">
        <v>1</v>
      </c>
      <c r="S11" s="15" t="str">
        <f aca="false">IF($M11="","",IF(ISNUMBER($M11),"Measured",IF(ISNUMBER(SEARCH("DATA GAP",UPPER($M11))),"Gap",IF(AND($N11&lt;&gt;"",$P11&lt;&gt;"T5"),"Documented","Judged"))))</f>
        <v>Documented</v>
      </c>
      <c r="T11" s="15" t="n">
        <f aca="false">IF($AC11&lt;&gt;"","",IF(OR($S11="",$S11="Gap"),"",IF($S11="Measured",1+IF($H11="H",IF($M11&gt;=$I11,1,0)+IF($M11&gt;=$J11,1,0)+IF($M11&gt;=$K11,1,0)+IF($M11&gt;=$L11,1,0),IF($M11&lt;=$I11,1,0)+IF($M11&lt;=$J11,1,0)+IF($M11&lt;=$K11,1,0)+IF($M11&lt;=$L11,1,0)),IF($R11&lt;&gt;"",$R11,""))))</f>
        <v>1</v>
      </c>
      <c r="U11" s="15" t="str">
        <f aca="false">IF(OR($S11="",$S11="Gap",$Q11=""),"",IF($Q11&lt;Config!$C$2-Config!$C$3,"STALE",""))</f>
        <v>STALE</v>
      </c>
      <c r="V11" s="15" t="n">
        <f aca="false">IF(OR(ISNUMBER(SEARCH("ALL",$E11)),ISNUMBER(SEARCH("ADV",$E11))),1,0)</f>
        <v>0</v>
      </c>
      <c r="W11" s="15" t="n">
        <f aca="false">IF(OR(ISNUMBER(SEARCH("ALL",$E11)),ISNUMBER(SEARCH("SMF",$E11))),1,0)</f>
        <v>0</v>
      </c>
      <c r="X11" s="15" t="n">
        <f aca="false">IF(OR(ISNUMBER(SEARCH("ALL",$E11)),ISNUMBER(SEARCH("MKT",$E11))),1,0)</f>
        <v>0</v>
      </c>
      <c r="Y11" s="15" t="n">
        <f aca="false">IF(OR(ISNUMBER(SEARCH("ALL",$E11)),ISNUMBER(SEARCH("SCM",$E11))),1,0)</f>
        <v>0</v>
      </c>
      <c r="Z11" s="15" t="n">
        <f aca="false">IF(OR(ISNUMBER(SEARCH("ALL",$E11)),ISNUMBER(SEARCH("FIN",$E11))),1,0)</f>
        <v>1</v>
      </c>
      <c r="AA11" s="15" t="n">
        <f aca="false">IF(OR(ISNUMBER(SEARCH("ALL",$E11)),ISNUMBER(SEARCH("AGI",$E11))),1,0)</f>
        <v>0</v>
      </c>
      <c r="AB11" s="17" t="s">
        <v>179</v>
      </c>
    </row>
    <row r="12" customFormat="false" ht="57.45" hidden="false" customHeight="false" outlineLevel="0" collapsed="false">
      <c r="A12" s="15" t="s">
        <v>180</v>
      </c>
      <c r="B12" s="10" t="s">
        <v>181</v>
      </c>
      <c r="C12" s="15" t="s">
        <v>140</v>
      </c>
      <c r="D12" s="15" t="s">
        <v>141</v>
      </c>
      <c r="E12" s="15" t="s">
        <v>182</v>
      </c>
      <c r="F12" s="15"/>
      <c r="G12" s="15" t="s">
        <v>143</v>
      </c>
      <c r="H12" s="15" t="s">
        <v>144</v>
      </c>
      <c r="I12" s="15" t="n">
        <v>20</v>
      </c>
      <c r="J12" s="15" t="n">
        <v>40</v>
      </c>
      <c r="K12" s="15" t="n">
        <v>60</v>
      </c>
      <c r="L12" s="15" t="n">
        <v>80</v>
      </c>
      <c r="M12" s="16" t="s">
        <v>183</v>
      </c>
      <c r="N12" s="16" t="s">
        <v>184</v>
      </c>
      <c r="O12" s="16" t="s">
        <v>185</v>
      </c>
      <c r="P12" s="11" t="s">
        <v>92</v>
      </c>
      <c r="Q12" s="11" t="n">
        <v>2022</v>
      </c>
      <c r="R12" s="11"/>
      <c r="S12" s="15" t="str">
        <f aca="false">IF($M12="","",IF(ISNUMBER($M12),"Measured",IF(ISNUMBER(SEARCH("DATA GAP",UPPER($M12))),"Gap",IF(AND($N12&lt;&gt;"",$P12&lt;&gt;"T5"),"Documented","Judged"))))</f>
        <v>Documented</v>
      </c>
      <c r="T12" s="15" t="str">
        <f aca="false">IF($AC12&lt;&gt;"","",IF(OR($S12="",$S12="Gap"),"",IF($S12="Measured",1+IF($H12="H",IF($M12&gt;=$I12,1,0)+IF($M12&gt;=$J12,1,0)+IF($M12&gt;=$K12,1,0)+IF($M12&gt;=$L12,1,0),IF($M12&lt;=$I12,1,0)+IF($M12&lt;=$J12,1,0)+IF($M12&lt;=$K12,1,0)+IF($M12&lt;=$L12,1,0)),IF($R12&lt;&gt;"",$R12,""))))</f>
        <v/>
      </c>
      <c r="U12" s="15" t="str">
        <f aca="false">IF(OR($S12="",$S12="Gap",$Q12=""),"",IF($Q12&lt;Config!$C$2-Config!$C$3,"STALE",""))</f>
        <v>STALE</v>
      </c>
      <c r="V12" s="15" t="n">
        <f aca="false">IF(OR(ISNUMBER(SEARCH("ALL",$E12)),ISNUMBER(SEARCH("ADV",$E12))),1,0)</f>
        <v>1</v>
      </c>
      <c r="W12" s="15" t="n">
        <f aca="false">IF(OR(ISNUMBER(SEARCH("ALL",$E12)),ISNUMBER(SEARCH("SMF",$E12))),1,0)</f>
        <v>0</v>
      </c>
      <c r="X12" s="15" t="n">
        <f aca="false">IF(OR(ISNUMBER(SEARCH("ALL",$E12)),ISNUMBER(SEARCH("MKT",$E12))),1,0)</f>
        <v>0</v>
      </c>
      <c r="Y12" s="15" t="n">
        <f aca="false">IF(OR(ISNUMBER(SEARCH("ALL",$E12)),ISNUMBER(SEARCH("SCM",$E12))),1,0)</f>
        <v>0</v>
      </c>
      <c r="Z12" s="15" t="n">
        <f aca="false">IF(OR(ISNUMBER(SEARCH("ALL",$E12)),ISNUMBER(SEARCH("FIN",$E12))),1,0)</f>
        <v>0</v>
      </c>
      <c r="AA12" s="15" t="n">
        <f aca="false">IF(OR(ISNUMBER(SEARCH("ALL",$E12)),ISNUMBER(SEARCH("AGI",$E12))),1,0)</f>
        <v>0</v>
      </c>
      <c r="AB12" s="17" t="s">
        <v>186</v>
      </c>
      <c r="AC12" s="11" t="s">
        <v>187</v>
      </c>
    </row>
    <row r="13" customFormat="false" ht="46.25" hidden="false" customHeight="false" outlineLevel="0" collapsed="false">
      <c r="A13" s="15" t="s">
        <v>188</v>
      </c>
      <c r="B13" s="10" t="s">
        <v>189</v>
      </c>
      <c r="C13" s="15" t="s">
        <v>140</v>
      </c>
      <c r="D13" s="15" t="s">
        <v>141</v>
      </c>
      <c r="E13" s="15" t="s">
        <v>142</v>
      </c>
      <c r="F13" s="15"/>
      <c r="G13" s="15" t="s">
        <v>143</v>
      </c>
      <c r="H13" s="15" t="s">
        <v>154</v>
      </c>
      <c r="I13" s="15" t="n">
        <v>25</v>
      </c>
      <c r="J13" s="15" t="n">
        <v>15</v>
      </c>
      <c r="K13" s="15" t="n">
        <v>7.5</v>
      </c>
      <c r="L13" s="15" t="n">
        <v>2.5</v>
      </c>
      <c r="M13" s="16" t="n">
        <v>19.9</v>
      </c>
      <c r="N13" s="16" t="s">
        <v>190</v>
      </c>
      <c r="O13" s="16" t="s">
        <v>191</v>
      </c>
      <c r="P13" s="11" t="s">
        <v>88</v>
      </c>
      <c r="Q13" s="11" t="n">
        <v>2023</v>
      </c>
      <c r="R13" s="11"/>
      <c r="S13" s="15" t="str">
        <f aca="false">IF($M13="","",IF(ISNUMBER($M13),"Measured",IF(ISNUMBER(SEARCH("DATA GAP",UPPER($M13))),"Gap",IF(AND($N13&lt;&gt;"",$P13&lt;&gt;"T5"),"Documented","Judged"))))</f>
        <v>Measured</v>
      </c>
      <c r="T13" s="15" t="n">
        <f aca="false">IF($AC13&lt;&gt;"","",IF(OR($S13="",$S13="Gap"),"",IF($S13="Measured",1+IF($H13="H",IF($M13&gt;=$I13,1,0)+IF($M13&gt;=$J13,1,0)+IF($M13&gt;=$K13,1,0)+IF($M13&gt;=$L13,1,0),IF($M13&lt;=$I13,1,0)+IF($M13&lt;=$J13,1,0)+IF($M13&lt;=$K13,1,0)+IF($M13&lt;=$L13,1,0)),IF($R13&lt;&gt;"",$R13,""))))</f>
        <v>2</v>
      </c>
      <c r="U13" s="15" t="str">
        <f aca="false">IF(OR($S13="",$S13="Gap",$Q13=""),"",IF($Q13&lt;Config!$C$2-Config!$C$3,"STALE",""))</f>
        <v/>
      </c>
      <c r="V13" s="15" t="n">
        <f aca="false">IF(OR(ISNUMBER(SEARCH("ALL",$E13)),ISNUMBER(SEARCH("ADV",$E13))),1,0)</f>
        <v>0</v>
      </c>
      <c r="W13" s="15" t="n">
        <f aca="false">IF(OR(ISNUMBER(SEARCH("ALL",$E13)),ISNUMBER(SEARCH("SMF",$E13))),1,0)</f>
        <v>0</v>
      </c>
      <c r="X13" s="15" t="n">
        <f aca="false">IF(OR(ISNUMBER(SEARCH("ALL",$E13)),ISNUMBER(SEARCH("MKT",$E13))),1,0)</f>
        <v>0</v>
      </c>
      <c r="Y13" s="15" t="n">
        <f aca="false">IF(OR(ISNUMBER(SEARCH("ALL",$E13)),ISNUMBER(SEARCH("SCM",$E13))),1,0)</f>
        <v>0</v>
      </c>
      <c r="Z13" s="15" t="n">
        <f aca="false">IF(OR(ISNUMBER(SEARCH("ALL",$E13)),ISNUMBER(SEARCH("FIN",$E13))),1,0)</f>
        <v>0</v>
      </c>
      <c r="AA13" s="15" t="n">
        <f aca="false">IF(OR(ISNUMBER(SEARCH("ALL",$E13)),ISNUMBER(SEARCH("AGI",$E13))),1,0)</f>
        <v>0</v>
      </c>
    </row>
    <row r="14" customFormat="false" ht="57.45" hidden="false" customHeight="false" outlineLevel="0" collapsed="false">
      <c r="A14" s="15" t="s">
        <v>192</v>
      </c>
      <c r="B14" s="10" t="s">
        <v>193</v>
      </c>
      <c r="C14" s="15" t="s">
        <v>140</v>
      </c>
      <c r="D14" s="15" t="s">
        <v>141</v>
      </c>
      <c r="E14" s="15" t="s">
        <v>194</v>
      </c>
      <c r="F14" s="15"/>
      <c r="G14" s="15" t="s">
        <v>143</v>
      </c>
      <c r="H14" s="15" t="s">
        <v>144</v>
      </c>
      <c r="I14" s="15" t="n">
        <v>10</v>
      </c>
      <c r="J14" s="15" t="n">
        <v>25</v>
      </c>
      <c r="K14" s="15" t="n">
        <v>40</v>
      </c>
      <c r="L14" s="15" t="n">
        <v>50</v>
      </c>
      <c r="M14" s="16" t="s">
        <v>195</v>
      </c>
      <c r="N14" s="16" t="s">
        <v>196</v>
      </c>
      <c r="O14" s="16" t="s">
        <v>197</v>
      </c>
      <c r="P14" s="11" t="s">
        <v>88</v>
      </c>
      <c r="Q14" s="11" t="n">
        <v>2019</v>
      </c>
      <c r="R14" s="11"/>
      <c r="S14" s="15" t="str">
        <f aca="false">IF($M14="","",IF(ISNUMBER($M14),"Measured",IF(ISNUMBER(SEARCH("DATA GAP",UPPER($M14))),"Gap",IF(AND($N14&lt;&gt;"",$P14&lt;&gt;"T5"),"Documented","Judged"))))</f>
        <v>Documented</v>
      </c>
      <c r="T14" s="15" t="str">
        <f aca="false">IF($AC14&lt;&gt;"","",IF(OR($S14="",$S14="Gap"),"",IF($S14="Measured",1+IF($H14="H",IF($M14&gt;=$I14,1,0)+IF($M14&gt;=$J14,1,0)+IF($M14&gt;=$K14,1,0)+IF($M14&gt;=$L14,1,0),IF($M14&lt;=$I14,1,0)+IF($M14&lt;=$J14,1,0)+IF($M14&lt;=$K14,1,0)+IF($M14&lt;=$L14,1,0)),IF($R14&lt;&gt;"",$R14,""))))</f>
        <v/>
      </c>
      <c r="U14" s="15" t="str">
        <f aca="false">IF(OR($S14="",$S14="Gap",$Q14=""),"",IF($Q14&lt;Config!$C$2-Config!$C$3,"STALE",""))</f>
        <v>STALE</v>
      </c>
      <c r="V14" s="15" t="n">
        <f aca="false">IF(OR(ISNUMBER(SEARCH("ALL",$E14)),ISNUMBER(SEARCH("ADV",$E14))),1,0)</f>
        <v>0</v>
      </c>
      <c r="W14" s="15" t="n">
        <f aca="false">IF(OR(ISNUMBER(SEARCH("ALL",$E14)),ISNUMBER(SEARCH("SMF",$E14))),1,0)</f>
        <v>0</v>
      </c>
      <c r="X14" s="15" t="n">
        <f aca="false">IF(OR(ISNUMBER(SEARCH("ALL",$E14)),ISNUMBER(SEARCH("MKT",$E14))),1,0)</f>
        <v>0</v>
      </c>
      <c r="Y14" s="15" t="n">
        <f aca="false">IF(OR(ISNUMBER(SEARCH("ALL",$E14)),ISNUMBER(SEARCH("SCM",$E14))),1,0)</f>
        <v>0</v>
      </c>
      <c r="Z14" s="15" t="n">
        <f aca="false">IF(OR(ISNUMBER(SEARCH("ALL",$E14)),ISNUMBER(SEARCH("FIN",$E14))),1,0)</f>
        <v>0</v>
      </c>
      <c r="AA14" s="15" t="n">
        <f aca="false">IF(OR(ISNUMBER(SEARCH("ALL",$E14)),ISNUMBER(SEARCH("AGI",$E14))),1,0)</f>
        <v>0</v>
      </c>
      <c r="AB14" s="17" t="s">
        <v>198</v>
      </c>
      <c r="AC14" s="11" t="s">
        <v>187</v>
      </c>
    </row>
    <row r="15" customFormat="false" ht="57.45" hidden="false" customHeight="false" outlineLevel="0" collapsed="false">
      <c r="A15" s="15" t="s">
        <v>199</v>
      </c>
      <c r="B15" s="10" t="s">
        <v>200</v>
      </c>
      <c r="C15" s="15" t="s">
        <v>201</v>
      </c>
      <c r="D15" s="15" t="s">
        <v>141</v>
      </c>
      <c r="E15" s="15" t="s">
        <v>202</v>
      </c>
      <c r="F15" s="15" t="s">
        <v>203</v>
      </c>
      <c r="G15" s="15" t="s">
        <v>143</v>
      </c>
      <c r="H15" s="15" t="s">
        <v>144</v>
      </c>
      <c r="I15" s="15" t="n">
        <v>20</v>
      </c>
      <c r="J15" s="15" t="n">
        <v>40</v>
      </c>
      <c r="K15" s="15" t="n">
        <v>60</v>
      </c>
      <c r="L15" s="15" t="n">
        <v>80</v>
      </c>
      <c r="M15" s="16" t="s">
        <v>204</v>
      </c>
      <c r="N15" s="16" t="s">
        <v>205</v>
      </c>
      <c r="O15" s="16" t="s">
        <v>206</v>
      </c>
      <c r="P15" s="11" t="s">
        <v>100</v>
      </c>
      <c r="Q15" s="11" t="n">
        <v>2024</v>
      </c>
      <c r="R15" s="11" t="n">
        <v>3</v>
      </c>
      <c r="S15" s="15" t="str">
        <f aca="false">IF($M15="","",IF(ISNUMBER($M15),"Measured",IF(ISNUMBER(SEARCH("DATA GAP",UPPER($M15))),"Gap",IF(AND($N15&lt;&gt;"",$P15&lt;&gt;"T5"),"Documented","Judged"))))</f>
        <v>Documented</v>
      </c>
      <c r="T15" s="15" t="n">
        <f aca="false">IF($AC15&lt;&gt;"","",IF(OR($S15="",$S15="Gap"),"",IF($S15="Measured",1+IF($H15="H",IF($M15&gt;=$I15,1,0)+IF($M15&gt;=$J15,1,0)+IF($M15&gt;=$K15,1,0)+IF($M15&gt;=$L15,1,0),IF($M15&lt;=$I15,1,0)+IF($M15&lt;=$J15,1,0)+IF($M15&lt;=$K15,1,0)+IF($M15&lt;=$L15,1,0)),IF($R15&lt;&gt;"",$R15,""))))</f>
        <v>3</v>
      </c>
      <c r="U15" s="15" t="str">
        <f aca="false">IF(OR($S15="",$S15="Gap",$Q15=""),"",IF($Q15&lt;Config!$C$2-Config!$C$3,"STALE",""))</f>
        <v/>
      </c>
      <c r="V15" s="15" t="n">
        <f aca="false">IF(OR(ISNUMBER(SEARCH("ALL",$E15)),ISNUMBER(SEARCH("ADV",$E15))),1,0)</f>
        <v>1</v>
      </c>
      <c r="W15" s="15" t="n">
        <f aca="false">IF(OR(ISNUMBER(SEARCH("ALL",$E15)),ISNUMBER(SEARCH("SMF",$E15))),1,0)</f>
        <v>1</v>
      </c>
      <c r="X15" s="15" t="n">
        <f aca="false">IF(OR(ISNUMBER(SEARCH("ALL",$E15)),ISNUMBER(SEARCH("MKT",$E15))),1,0)</f>
        <v>1</v>
      </c>
      <c r="Y15" s="15" t="n">
        <f aca="false">IF(OR(ISNUMBER(SEARCH("ALL",$E15)),ISNUMBER(SEARCH("SCM",$E15))),1,0)</f>
        <v>1</v>
      </c>
      <c r="Z15" s="15" t="n">
        <f aca="false">IF(OR(ISNUMBER(SEARCH("ALL",$E15)),ISNUMBER(SEARCH("FIN",$E15))),1,0)</f>
        <v>1</v>
      </c>
      <c r="AA15" s="15" t="n">
        <f aca="false">IF(OR(ISNUMBER(SEARCH("ALL",$E15)),ISNUMBER(SEARCH("AGI",$E15))),1,0)</f>
        <v>1</v>
      </c>
      <c r="AB15" s="17" t="s">
        <v>207</v>
      </c>
    </row>
    <row r="16" customFormat="false" ht="46.25" hidden="false" customHeight="false" outlineLevel="0" collapsed="false">
      <c r="A16" s="15" t="s">
        <v>208</v>
      </c>
      <c r="B16" s="10" t="s">
        <v>209</v>
      </c>
      <c r="C16" s="15" t="s">
        <v>201</v>
      </c>
      <c r="D16" s="15" t="s">
        <v>141</v>
      </c>
      <c r="E16" s="15" t="s">
        <v>202</v>
      </c>
      <c r="F16" s="15"/>
      <c r="G16" s="15" t="s">
        <v>143</v>
      </c>
      <c r="H16" s="15" t="s">
        <v>144</v>
      </c>
      <c r="I16" s="15" t="n">
        <v>20</v>
      </c>
      <c r="J16" s="15" t="n">
        <v>40</v>
      </c>
      <c r="K16" s="15" t="n">
        <v>60</v>
      </c>
      <c r="L16" s="15" t="n">
        <v>80</v>
      </c>
      <c r="M16" s="16" t="n">
        <v>41.21139908</v>
      </c>
      <c r="N16" s="16" t="s">
        <v>210</v>
      </c>
      <c r="O16" s="16" t="s">
        <v>211</v>
      </c>
      <c r="P16" s="11" t="s">
        <v>88</v>
      </c>
      <c r="Q16" s="11" t="n">
        <v>2024</v>
      </c>
      <c r="R16" s="11"/>
      <c r="S16" s="15" t="str">
        <f aca="false">IF($M16="","",IF(ISNUMBER($M16),"Measured",IF(ISNUMBER(SEARCH("DATA GAP",UPPER($M16))),"Gap",IF(AND($N16&lt;&gt;"",$P16&lt;&gt;"T5"),"Documented","Judged"))))</f>
        <v>Measured</v>
      </c>
      <c r="T16" s="15" t="n">
        <f aca="false">IF($AC16&lt;&gt;"","",IF(OR($S16="",$S16="Gap"),"",IF($S16="Measured",1+IF($H16="H",IF($M16&gt;=$I16,1,0)+IF($M16&gt;=$J16,1,0)+IF($M16&gt;=$K16,1,0)+IF($M16&gt;=$L16,1,0),IF($M16&lt;=$I16,1,0)+IF($M16&lt;=$J16,1,0)+IF($M16&lt;=$K16,1,0)+IF($M16&lt;=$L16,1,0)),IF($R16&lt;&gt;"",$R16,""))))</f>
        <v>3</v>
      </c>
      <c r="U16" s="15" t="str">
        <f aca="false">IF(OR($S16="",$S16="Gap",$Q16=""),"",IF($Q16&lt;Config!$C$2-Config!$C$3,"STALE",""))</f>
        <v/>
      </c>
      <c r="V16" s="15" t="n">
        <f aca="false">IF(OR(ISNUMBER(SEARCH("ALL",$E16)),ISNUMBER(SEARCH("ADV",$E16))),1,0)</f>
        <v>1</v>
      </c>
      <c r="W16" s="15" t="n">
        <f aca="false">IF(OR(ISNUMBER(SEARCH("ALL",$E16)),ISNUMBER(SEARCH("SMF",$E16))),1,0)</f>
        <v>1</v>
      </c>
      <c r="X16" s="15" t="n">
        <f aca="false">IF(OR(ISNUMBER(SEARCH("ALL",$E16)),ISNUMBER(SEARCH("MKT",$E16))),1,0)</f>
        <v>1</v>
      </c>
      <c r="Y16" s="15" t="n">
        <f aca="false">IF(OR(ISNUMBER(SEARCH("ALL",$E16)),ISNUMBER(SEARCH("SCM",$E16))),1,0)</f>
        <v>1</v>
      </c>
      <c r="Z16" s="15" t="n">
        <f aca="false">IF(OR(ISNUMBER(SEARCH("ALL",$E16)),ISNUMBER(SEARCH("FIN",$E16))),1,0)</f>
        <v>1</v>
      </c>
      <c r="AA16" s="15" t="n">
        <f aca="false">IF(OR(ISNUMBER(SEARCH("ALL",$E16)),ISNUMBER(SEARCH("AGI",$E16))),1,0)</f>
        <v>1</v>
      </c>
    </row>
    <row r="17" customFormat="false" ht="46.25" hidden="false" customHeight="false" outlineLevel="0" collapsed="false">
      <c r="A17" s="15" t="s">
        <v>212</v>
      </c>
      <c r="B17" s="10" t="s">
        <v>213</v>
      </c>
      <c r="C17" s="15" t="s">
        <v>201</v>
      </c>
      <c r="D17" s="15" t="s">
        <v>141</v>
      </c>
      <c r="E17" s="15" t="s">
        <v>202</v>
      </c>
      <c r="F17" s="15"/>
      <c r="G17" s="15" t="s">
        <v>143</v>
      </c>
      <c r="H17" s="15" t="s">
        <v>154</v>
      </c>
      <c r="I17" s="15" t="n">
        <v>10</v>
      </c>
      <c r="J17" s="15" t="n">
        <v>5</v>
      </c>
      <c r="K17" s="15" t="n">
        <v>2</v>
      </c>
      <c r="L17" s="15" t="n">
        <v>1</v>
      </c>
      <c r="M17" s="16" t="n">
        <v>1.56</v>
      </c>
      <c r="N17" s="16" t="s">
        <v>214</v>
      </c>
      <c r="O17" s="16" t="s">
        <v>215</v>
      </c>
      <c r="P17" s="11" t="s">
        <v>88</v>
      </c>
      <c r="Q17" s="11" t="n">
        <v>2025</v>
      </c>
      <c r="R17" s="11"/>
      <c r="S17" s="15" t="str">
        <f aca="false">IF($M17="","",IF(ISNUMBER($M17),"Measured",IF(ISNUMBER(SEARCH("DATA GAP",UPPER($M17))),"Gap",IF(AND($N17&lt;&gt;"",$P17&lt;&gt;"T5"),"Documented","Judged"))))</f>
        <v>Measured</v>
      </c>
      <c r="T17" s="15" t="n">
        <f aca="false">IF($AC17&lt;&gt;"","",IF(OR($S17="",$S17="Gap"),"",IF($S17="Measured",1+IF($H17="H",IF($M17&gt;=$I17,1,0)+IF($M17&gt;=$J17,1,0)+IF($M17&gt;=$K17,1,0)+IF($M17&gt;=$L17,1,0),IF($M17&lt;=$I17,1,0)+IF($M17&lt;=$J17,1,0)+IF($M17&lt;=$K17,1,0)+IF($M17&lt;=$L17,1,0)),IF($R17&lt;&gt;"",$R17,""))))</f>
        <v>4</v>
      </c>
      <c r="U17" s="15" t="str">
        <f aca="false">IF(OR($S17="",$S17="Gap",$Q17=""),"",IF($Q17&lt;Config!$C$2-Config!$C$3,"STALE",""))</f>
        <v/>
      </c>
      <c r="V17" s="15" t="n">
        <f aca="false">IF(OR(ISNUMBER(SEARCH("ALL",$E17)),ISNUMBER(SEARCH("ADV",$E17))),1,0)</f>
        <v>1</v>
      </c>
      <c r="W17" s="15" t="n">
        <f aca="false">IF(OR(ISNUMBER(SEARCH("ALL",$E17)),ISNUMBER(SEARCH("SMF",$E17))),1,0)</f>
        <v>1</v>
      </c>
      <c r="X17" s="15" t="n">
        <f aca="false">IF(OR(ISNUMBER(SEARCH("ALL",$E17)),ISNUMBER(SEARCH("MKT",$E17))),1,0)</f>
        <v>1</v>
      </c>
      <c r="Y17" s="15" t="n">
        <f aca="false">IF(OR(ISNUMBER(SEARCH("ALL",$E17)),ISNUMBER(SEARCH("SCM",$E17))),1,0)</f>
        <v>1</v>
      </c>
      <c r="Z17" s="15" t="n">
        <f aca="false">IF(OR(ISNUMBER(SEARCH("ALL",$E17)),ISNUMBER(SEARCH("FIN",$E17))),1,0)</f>
        <v>1</v>
      </c>
      <c r="AA17" s="15" t="n">
        <f aca="false">IF(OR(ISNUMBER(SEARCH("ALL",$E17)),ISNUMBER(SEARCH("AGI",$E17))),1,0)</f>
        <v>1</v>
      </c>
      <c r="AB17" s="17" t="s">
        <v>216</v>
      </c>
    </row>
    <row r="18" customFormat="false" ht="79.85" hidden="false" customHeight="false" outlineLevel="0" collapsed="false">
      <c r="A18" s="15" t="s">
        <v>217</v>
      </c>
      <c r="B18" s="10" t="s">
        <v>218</v>
      </c>
      <c r="C18" s="15" t="s">
        <v>201</v>
      </c>
      <c r="D18" s="15" t="s">
        <v>141</v>
      </c>
      <c r="E18" s="15" t="s">
        <v>202</v>
      </c>
      <c r="F18" s="15"/>
      <c r="G18" s="15" t="s">
        <v>143</v>
      </c>
      <c r="H18" s="15" t="s">
        <v>144</v>
      </c>
      <c r="I18" s="15" t="n">
        <v>20</v>
      </c>
      <c r="J18" s="15" t="n">
        <v>40</v>
      </c>
      <c r="K18" s="15" t="n">
        <v>60</v>
      </c>
      <c r="L18" s="15" t="n">
        <v>80</v>
      </c>
      <c r="M18" s="16" t="n">
        <v>28.9</v>
      </c>
      <c r="N18" s="16" t="s">
        <v>219</v>
      </c>
      <c r="O18" s="16" t="s">
        <v>220</v>
      </c>
      <c r="P18" s="11" t="s">
        <v>88</v>
      </c>
      <c r="Q18" s="11" t="n">
        <v>2024</v>
      </c>
      <c r="R18" s="11"/>
      <c r="S18" s="15" t="str">
        <f aca="false">IF($M18="","",IF(ISNUMBER($M18),"Measured",IF(ISNUMBER(SEARCH("DATA GAP",UPPER($M18))),"Gap",IF(AND($N18&lt;&gt;"",$P18&lt;&gt;"T5"),"Documented","Judged"))))</f>
        <v>Measured</v>
      </c>
      <c r="T18" s="15" t="n">
        <f aca="false">IF($AC18&lt;&gt;"","",IF(OR($S18="",$S18="Gap"),"",IF($S18="Measured",1+IF($H18="H",IF($M18&gt;=$I18,1,0)+IF($M18&gt;=$J18,1,0)+IF($M18&gt;=$K18,1,0)+IF($M18&gt;=$L18,1,0),IF($M18&lt;=$I18,1,0)+IF($M18&lt;=$J18,1,0)+IF($M18&lt;=$K18,1,0)+IF($M18&lt;=$L18,1,0)),IF($R18&lt;&gt;"",$R18,""))))</f>
        <v>2</v>
      </c>
      <c r="U18" s="15" t="str">
        <f aca="false">IF(OR($S18="",$S18="Gap",$Q18=""),"",IF($Q18&lt;Config!$C$2-Config!$C$3,"STALE",""))</f>
        <v/>
      </c>
      <c r="V18" s="15" t="n">
        <f aca="false">IF(OR(ISNUMBER(SEARCH("ALL",$E18)),ISNUMBER(SEARCH("ADV",$E18))),1,0)</f>
        <v>1</v>
      </c>
      <c r="W18" s="15" t="n">
        <f aca="false">IF(OR(ISNUMBER(SEARCH("ALL",$E18)),ISNUMBER(SEARCH("SMF",$E18))),1,0)</f>
        <v>1</v>
      </c>
      <c r="X18" s="15" t="n">
        <f aca="false">IF(OR(ISNUMBER(SEARCH("ALL",$E18)),ISNUMBER(SEARCH("MKT",$E18))),1,0)</f>
        <v>1</v>
      </c>
      <c r="Y18" s="15" t="n">
        <f aca="false">IF(OR(ISNUMBER(SEARCH("ALL",$E18)),ISNUMBER(SEARCH("SCM",$E18))),1,0)</f>
        <v>1</v>
      </c>
      <c r="Z18" s="15" t="n">
        <f aca="false">IF(OR(ISNUMBER(SEARCH("ALL",$E18)),ISNUMBER(SEARCH("FIN",$E18))),1,0)</f>
        <v>1</v>
      </c>
      <c r="AA18" s="15" t="n">
        <f aca="false">IF(OR(ISNUMBER(SEARCH("ALL",$E18)),ISNUMBER(SEARCH("AGI",$E18))),1,0)</f>
        <v>1</v>
      </c>
      <c r="AB18" s="17" t="s">
        <v>221</v>
      </c>
    </row>
    <row r="19" customFormat="false" ht="46.25" hidden="false" customHeight="false" outlineLevel="0" collapsed="false">
      <c r="A19" s="15" t="s">
        <v>222</v>
      </c>
      <c r="B19" s="10" t="s">
        <v>223</v>
      </c>
      <c r="C19" s="15" t="s">
        <v>201</v>
      </c>
      <c r="D19" s="15" t="s">
        <v>141</v>
      </c>
      <c r="E19" s="15" t="s">
        <v>202</v>
      </c>
      <c r="F19" s="15" t="s">
        <v>203</v>
      </c>
      <c r="G19" s="15" t="s">
        <v>143</v>
      </c>
      <c r="H19" s="15" t="s">
        <v>144</v>
      </c>
      <c r="I19" s="15" t="n">
        <v>20</v>
      </c>
      <c r="J19" s="15" t="n">
        <v>40</v>
      </c>
      <c r="K19" s="15" t="n">
        <v>60</v>
      </c>
      <c r="L19" s="15" t="n">
        <v>80</v>
      </c>
      <c r="M19" s="16" t="n">
        <v>23.5</v>
      </c>
      <c r="N19" s="16" t="s">
        <v>224</v>
      </c>
      <c r="O19" s="16" t="s">
        <v>225</v>
      </c>
      <c r="P19" s="11" t="s">
        <v>88</v>
      </c>
      <c r="Q19" s="11" t="n">
        <v>2024</v>
      </c>
      <c r="R19" s="11"/>
      <c r="S19" s="15" t="str">
        <f aca="false">IF($M19="","",IF(ISNUMBER($M19),"Measured",IF(ISNUMBER(SEARCH("DATA GAP",UPPER($M19))),"Gap",IF(AND($N19&lt;&gt;"",$P19&lt;&gt;"T5"),"Documented","Judged"))))</f>
        <v>Measured</v>
      </c>
      <c r="T19" s="15" t="n">
        <f aca="false">IF($AC19&lt;&gt;"","",IF(OR($S19="",$S19="Gap"),"",IF($S19="Measured",1+IF($H19="H",IF($M19&gt;=$I19,1,0)+IF($M19&gt;=$J19,1,0)+IF($M19&gt;=$K19,1,0)+IF($M19&gt;=$L19,1,0),IF($M19&lt;=$I19,1,0)+IF($M19&lt;=$J19,1,0)+IF($M19&lt;=$K19,1,0)+IF($M19&lt;=$L19,1,0)),IF($R19&lt;&gt;"",$R19,""))))</f>
        <v>2</v>
      </c>
      <c r="U19" s="15" t="str">
        <f aca="false">IF(OR($S19="",$S19="Gap",$Q19=""),"",IF($Q19&lt;Config!$C$2-Config!$C$3,"STALE",""))</f>
        <v/>
      </c>
      <c r="V19" s="15" t="n">
        <f aca="false">IF(OR(ISNUMBER(SEARCH("ALL",$E19)),ISNUMBER(SEARCH("ADV",$E19))),1,0)</f>
        <v>1</v>
      </c>
      <c r="W19" s="15" t="n">
        <f aca="false">IF(OR(ISNUMBER(SEARCH("ALL",$E19)),ISNUMBER(SEARCH("SMF",$E19))),1,0)</f>
        <v>1</v>
      </c>
      <c r="X19" s="15" t="n">
        <f aca="false">IF(OR(ISNUMBER(SEARCH("ALL",$E19)),ISNUMBER(SEARCH("MKT",$E19))),1,0)</f>
        <v>1</v>
      </c>
      <c r="Y19" s="15" t="n">
        <f aca="false">IF(OR(ISNUMBER(SEARCH("ALL",$E19)),ISNUMBER(SEARCH("SCM",$E19))),1,0)</f>
        <v>1</v>
      </c>
      <c r="Z19" s="15" t="n">
        <f aca="false">IF(OR(ISNUMBER(SEARCH("ALL",$E19)),ISNUMBER(SEARCH("FIN",$E19))),1,0)</f>
        <v>1</v>
      </c>
      <c r="AA19" s="15" t="n">
        <f aca="false">IF(OR(ISNUMBER(SEARCH("ALL",$E19)),ISNUMBER(SEARCH("AGI",$E19))),1,0)</f>
        <v>1</v>
      </c>
    </row>
    <row r="20" customFormat="false" ht="57.45" hidden="false" customHeight="false" outlineLevel="0" collapsed="false">
      <c r="A20" s="15" t="s">
        <v>226</v>
      </c>
      <c r="B20" s="10" t="s">
        <v>227</v>
      </c>
      <c r="C20" s="15" t="s">
        <v>201</v>
      </c>
      <c r="D20" s="15" t="s">
        <v>141</v>
      </c>
      <c r="E20" s="15" t="s">
        <v>202</v>
      </c>
      <c r="F20" s="15"/>
      <c r="G20" s="15" t="s">
        <v>154</v>
      </c>
      <c r="H20" s="15"/>
      <c r="M20" s="16" t="s">
        <v>228</v>
      </c>
      <c r="N20" s="16" t="s">
        <v>229</v>
      </c>
      <c r="O20" s="16" t="s">
        <v>230</v>
      </c>
      <c r="P20" s="11" t="s">
        <v>96</v>
      </c>
      <c r="Q20" s="11" t="n">
        <v>2026</v>
      </c>
      <c r="R20" s="11" t="n">
        <v>3</v>
      </c>
      <c r="S20" s="15" t="str">
        <f aca="false">IF($M20="","",IF(ISNUMBER($M20),"Measured",IF(ISNUMBER(SEARCH("DATA GAP",UPPER($M20))),"Gap",IF(AND($N20&lt;&gt;"",$P20&lt;&gt;"T5"),"Documented","Judged"))))</f>
        <v>Documented</v>
      </c>
      <c r="T20" s="15" t="n">
        <f aca="false">IF($AC20&lt;&gt;"","",IF(OR($S20="",$S20="Gap"),"",IF($S20="Measured",1+IF($H20="H",IF($M20&gt;=$I20,1,0)+IF($M20&gt;=$J20,1,0)+IF($M20&gt;=$K20,1,0)+IF($M20&gt;=$L20,1,0),IF($M20&lt;=$I20,1,0)+IF($M20&lt;=$J20,1,0)+IF($M20&lt;=$K20,1,0)+IF($M20&lt;=$L20,1,0)),IF($R20&lt;&gt;"",$R20,""))))</f>
        <v>3</v>
      </c>
      <c r="U20" s="15" t="str">
        <f aca="false">IF(OR($S20="",$S20="Gap",$Q20=""),"",IF($Q20&lt;Config!$C$2-Config!$C$3,"STALE",""))</f>
        <v/>
      </c>
      <c r="V20" s="15" t="n">
        <f aca="false">IF(OR(ISNUMBER(SEARCH("ALL",$E20)),ISNUMBER(SEARCH("ADV",$E20))),1,0)</f>
        <v>1</v>
      </c>
      <c r="W20" s="15" t="n">
        <f aca="false">IF(OR(ISNUMBER(SEARCH("ALL",$E20)),ISNUMBER(SEARCH("SMF",$E20))),1,0)</f>
        <v>1</v>
      </c>
      <c r="X20" s="15" t="n">
        <f aca="false">IF(OR(ISNUMBER(SEARCH("ALL",$E20)),ISNUMBER(SEARCH("MKT",$E20))),1,0)</f>
        <v>1</v>
      </c>
      <c r="Y20" s="15" t="n">
        <f aca="false">IF(OR(ISNUMBER(SEARCH("ALL",$E20)),ISNUMBER(SEARCH("SCM",$E20))),1,0)</f>
        <v>1</v>
      </c>
      <c r="Z20" s="15" t="n">
        <f aca="false">IF(OR(ISNUMBER(SEARCH("ALL",$E20)),ISNUMBER(SEARCH("FIN",$E20))),1,0)</f>
        <v>1</v>
      </c>
      <c r="AA20" s="15" t="n">
        <f aca="false">IF(OR(ISNUMBER(SEARCH("ALL",$E20)),ISNUMBER(SEARCH("AGI",$E20))),1,0)</f>
        <v>1</v>
      </c>
      <c r="AB20" s="17" t="s">
        <v>231</v>
      </c>
    </row>
    <row r="21" customFormat="false" ht="35.05" hidden="false" customHeight="false" outlineLevel="0" collapsed="false">
      <c r="A21" s="15" t="s">
        <v>232</v>
      </c>
      <c r="B21" s="10" t="s">
        <v>233</v>
      </c>
      <c r="C21" s="15" t="s">
        <v>234</v>
      </c>
      <c r="D21" s="15" t="s">
        <v>235</v>
      </c>
      <c r="E21" s="15" t="s">
        <v>236</v>
      </c>
      <c r="F21" s="15"/>
      <c r="G21" s="15" t="s">
        <v>143</v>
      </c>
      <c r="H21" s="15" t="s">
        <v>144</v>
      </c>
      <c r="I21" s="15" t="n">
        <v>0.2</v>
      </c>
      <c r="J21" s="15" t="n">
        <v>0.4</v>
      </c>
      <c r="K21" s="15" t="n">
        <v>0.6</v>
      </c>
      <c r="L21" s="15" t="n">
        <v>0.8</v>
      </c>
      <c r="M21" s="16" t="n">
        <v>0.4815</v>
      </c>
      <c r="N21" s="16" t="s">
        <v>237</v>
      </c>
      <c r="O21" s="16" t="s">
        <v>238</v>
      </c>
      <c r="P21" s="11" t="s">
        <v>88</v>
      </c>
      <c r="Q21" s="11" t="n">
        <v>2024</v>
      </c>
      <c r="R21" s="11"/>
      <c r="S21" s="15" t="str">
        <f aca="false">IF($M21="","",IF(ISNUMBER($M21),"Measured",IF(ISNUMBER(SEARCH("DATA GAP",UPPER($M21))),"Gap",IF(AND($N21&lt;&gt;"",$P21&lt;&gt;"T5"),"Documented","Judged"))))</f>
        <v>Measured</v>
      </c>
      <c r="T21" s="15" t="n">
        <f aca="false">IF($AC21&lt;&gt;"","",IF(OR($S21="",$S21="Gap"),"",IF($S21="Measured",1+IF($H21="H",IF($M21&gt;=$I21,1,0)+IF($M21&gt;=$J21,1,0)+IF($M21&gt;=$K21,1,0)+IF($M21&gt;=$L21,1,0),IF($M21&lt;=$I21,1,0)+IF($M21&lt;=$J21,1,0)+IF($M21&lt;=$K21,1,0)+IF($M21&lt;=$L21,1,0)),IF($R21&lt;&gt;"",$R21,""))))</f>
        <v>3</v>
      </c>
      <c r="U21" s="15" t="str">
        <f aca="false">IF(OR($S21="",$S21="Gap",$Q21=""),"",IF($Q21&lt;Config!$C$2-Config!$C$3,"STALE",""))</f>
        <v/>
      </c>
      <c r="V21" s="15" t="n">
        <f aca="false">IF(OR(ISNUMBER(SEARCH("ALL",$E21)),ISNUMBER(SEARCH("ADV",$E21))),1,0)</f>
        <v>1</v>
      </c>
      <c r="W21" s="15" t="n">
        <f aca="false">IF(OR(ISNUMBER(SEARCH("ALL",$E21)),ISNUMBER(SEARCH("SMF",$E21))),1,0)</f>
        <v>1</v>
      </c>
      <c r="X21" s="15" t="n">
        <f aca="false">IF(OR(ISNUMBER(SEARCH("ALL",$E21)),ISNUMBER(SEARCH("MKT",$E21))),1,0)</f>
        <v>1</v>
      </c>
      <c r="Y21" s="15" t="n">
        <f aca="false">IF(OR(ISNUMBER(SEARCH("ALL",$E21)),ISNUMBER(SEARCH("SCM",$E21))),1,0)</f>
        <v>1</v>
      </c>
      <c r="Z21" s="15" t="n">
        <f aca="false">IF(OR(ISNUMBER(SEARCH("ALL",$E21)),ISNUMBER(SEARCH("FIN",$E21))),1,0)</f>
        <v>1</v>
      </c>
      <c r="AA21" s="15" t="n">
        <f aca="false">IF(OR(ISNUMBER(SEARCH("ALL",$E21)),ISNUMBER(SEARCH("AGI",$E21))),1,0)</f>
        <v>1</v>
      </c>
    </row>
    <row r="22" customFormat="false" ht="57.45" hidden="false" customHeight="false" outlineLevel="0" collapsed="false">
      <c r="A22" s="15" t="s">
        <v>239</v>
      </c>
      <c r="B22" s="10" t="s">
        <v>240</v>
      </c>
      <c r="C22" s="15" t="s">
        <v>234</v>
      </c>
      <c r="D22" s="15" t="s">
        <v>235</v>
      </c>
      <c r="E22" s="15" t="s">
        <v>241</v>
      </c>
      <c r="F22" s="15" t="s">
        <v>242</v>
      </c>
      <c r="G22" s="15" t="s">
        <v>154</v>
      </c>
      <c r="H22" s="15"/>
      <c r="M22" s="16" t="s">
        <v>243</v>
      </c>
      <c r="N22" s="16" t="s">
        <v>244</v>
      </c>
      <c r="O22" s="16" t="s">
        <v>245</v>
      </c>
      <c r="P22" s="11" t="s">
        <v>96</v>
      </c>
      <c r="Q22" s="11" t="n">
        <v>2025</v>
      </c>
      <c r="R22" s="11" t="n">
        <v>2</v>
      </c>
      <c r="S22" s="15" t="str">
        <f aca="false">IF($M22="","",IF(ISNUMBER($M22),"Measured",IF(ISNUMBER(SEARCH("DATA GAP",UPPER($M22))),"Gap",IF(AND($N22&lt;&gt;"",$P22&lt;&gt;"T5"),"Documented","Judged"))))</f>
        <v>Documented</v>
      </c>
      <c r="T22" s="15" t="n">
        <f aca="false">IF($AC22&lt;&gt;"","",IF(OR($S22="",$S22="Gap"),"",IF($S22="Measured",1+IF($H22="H",IF($M22&gt;=$I22,1,0)+IF($M22&gt;=$J22,1,0)+IF($M22&gt;=$K22,1,0)+IF($M22&gt;=$L22,1,0),IF($M22&lt;=$I22,1,0)+IF($M22&lt;=$J22,1,0)+IF($M22&lt;=$K22,1,0)+IF($M22&lt;=$L22,1,0)),IF($R22&lt;&gt;"",$R22,""))))</f>
        <v>2</v>
      </c>
      <c r="U22" s="15" t="str">
        <f aca="false">IF(OR($S22="",$S22="Gap",$Q22=""),"",IF($Q22&lt;Config!$C$2-Config!$C$3,"STALE",""))</f>
        <v/>
      </c>
      <c r="V22" s="15" t="n">
        <f aca="false">IF(OR(ISNUMBER(SEARCH("ALL",$E22)),ISNUMBER(SEARCH("ADV",$E22))),1,0)</f>
        <v>1</v>
      </c>
      <c r="W22" s="15" t="n">
        <f aca="false">IF(OR(ISNUMBER(SEARCH("ALL",$E22)),ISNUMBER(SEARCH("SMF",$E22))),1,0)</f>
        <v>0</v>
      </c>
      <c r="X22" s="15" t="n">
        <f aca="false">IF(OR(ISNUMBER(SEARCH("ALL",$E22)),ISNUMBER(SEARCH("MKT",$E22))),1,0)</f>
        <v>0</v>
      </c>
      <c r="Y22" s="15" t="n">
        <f aca="false">IF(OR(ISNUMBER(SEARCH("ALL",$E22)),ISNUMBER(SEARCH("SCM",$E22))),1,0)</f>
        <v>0</v>
      </c>
      <c r="Z22" s="15" t="n">
        <f aca="false">IF(OR(ISNUMBER(SEARCH("ALL",$E22)),ISNUMBER(SEARCH("FIN",$E22))),1,0)</f>
        <v>1</v>
      </c>
      <c r="AA22" s="15" t="n">
        <f aca="false">IF(OR(ISNUMBER(SEARCH("ALL",$E22)),ISNUMBER(SEARCH("AGI",$E22))),1,0)</f>
        <v>1</v>
      </c>
      <c r="AB22" s="17" t="s">
        <v>246</v>
      </c>
    </row>
    <row r="23" customFormat="false" ht="57.45" hidden="false" customHeight="false" outlineLevel="0" collapsed="false">
      <c r="A23" s="15" t="s">
        <v>247</v>
      </c>
      <c r="B23" s="10" t="s">
        <v>248</v>
      </c>
      <c r="C23" s="15" t="s">
        <v>234</v>
      </c>
      <c r="D23" s="15" t="s">
        <v>235</v>
      </c>
      <c r="E23" s="15" t="s">
        <v>249</v>
      </c>
      <c r="F23" s="15"/>
      <c r="G23" s="15" t="s">
        <v>154</v>
      </c>
      <c r="H23" s="15"/>
      <c r="M23" s="16" t="s">
        <v>250</v>
      </c>
      <c r="N23" s="16" t="s">
        <v>251</v>
      </c>
      <c r="O23" s="16" t="s">
        <v>252</v>
      </c>
      <c r="P23" s="11" t="s">
        <v>96</v>
      </c>
      <c r="Q23" s="11" t="n">
        <v>2025</v>
      </c>
      <c r="R23" s="11" t="n">
        <v>2</v>
      </c>
      <c r="S23" s="15" t="str">
        <f aca="false">IF($M23="","",IF(ISNUMBER($M23),"Measured",IF(ISNUMBER(SEARCH("DATA GAP",UPPER($M23))),"Gap",IF(AND($N23&lt;&gt;"",$P23&lt;&gt;"T5"),"Documented","Judged"))))</f>
        <v>Documented</v>
      </c>
      <c r="T23" s="15" t="n">
        <f aca="false">IF($AC23&lt;&gt;"","",IF(OR($S23="",$S23="Gap"),"",IF($S23="Measured",1+IF($H23="H",IF($M23&gt;=$I23,1,0)+IF($M23&gt;=$J23,1,0)+IF($M23&gt;=$K23,1,0)+IF($M23&gt;=$L23,1,0),IF($M23&lt;=$I23,1,0)+IF($M23&lt;=$J23,1,0)+IF($M23&lt;=$K23,1,0)+IF($M23&lt;=$L23,1,0)),IF($R23&lt;&gt;"",$R23,""))))</f>
        <v>2</v>
      </c>
      <c r="U23" s="15" t="str">
        <f aca="false">IF(OR($S23="",$S23="Gap",$Q23=""),"",IF($Q23&lt;Config!$C$2-Config!$C$3,"STALE",""))</f>
        <v/>
      </c>
      <c r="V23" s="15" t="n">
        <f aca="false">IF(OR(ISNUMBER(SEARCH("ALL",$E23)),ISNUMBER(SEARCH("ADV",$E23))),1,0)</f>
        <v>0</v>
      </c>
      <c r="W23" s="15" t="n">
        <f aca="false">IF(OR(ISNUMBER(SEARCH("ALL",$E23)),ISNUMBER(SEARCH("SMF",$E23))),1,0)</f>
        <v>0</v>
      </c>
      <c r="X23" s="15" t="n">
        <f aca="false">IF(OR(ISNUMBER(SEARCH("ALL",$E23)),ISNUMBER(SEARCH("MKT",$E23))),1,0)</f>
        <v>0</v>
      </c>
      <c r="Y23" s="15" t="n">
        <f aca="false">IF(OR(ISNUMBER(SEARCH("ALL",$E23)),ISNUMBER(SEARCH("SCM",$E23))),1,0)</f>
        <v>0</v>
      </c>
      <c r="Z23" s="15" t="n">
        <f aca="false">IF(OR(ISNUMBER(SEARCH("ALL",$E23)),ISNUMBER(SEARCH("FIN",$E23))),1,0)</f>
        <v>1</v>
      </c>
      <c r="AA23" s="15" t="n">
        <f aca="false">IF(OR(ISNUMBER(SEARCH("ALL",$E23)),ISNUMBER(SEARCH("AGI",$E23))),1,0)</f>
        <v>1</v>
      </c>
      <c r="AB23" s="17" t="s">
        <v>253</v>
      </c>
    </row>
    <row r="24" customFormat="false" ht="57.45" hidden="false" customHeight="false" outlineLevel="0" collapsed="false">
      <c r="A24" s="15" t="s">
        <v>254</v>
      </c>
      <c r="B24" s="10" t="s">
        <v>255</v>
      </c>
      <c r="C24" s="15" t="s">
        <v>234</v>
      </c>
      <c r="D24" s="15" t="s">
        <v>235</v>
      </c>
      <c r="E24" s="15" t="s">
        <v>256</v>
      </c>
      <c r="F24" s="15"/>
      <c r="G24" s="15" t="s">
        <v>154</v>
      </c>
      <c r="H24" s="15"/>
      <c r="M24" s="16" t="s">
        <v>257</v>
      </c>
      <c r="N24" s="16" t="s">
        <v>258</v>
      </c>
      <c r="O24" s="16" t="s">
        <v>259</v>
      </c>
      <c r="P24" s="11" t="s">
        <v>88</v>
      </c>
      <c r="Q24" s="11" t="n">
        <v>2026</v>
      </c>
      <c r="R24" s="11"/>
      <c r="S24" s="15" t="str">
        <f aca="false">IF($M24="","",IF(ISNUMBER($M24),"Measured",IF(ISNUMBER(SEARCH("DATA GAP",UPPER($M24))),"Gap",IF(AND($N24&lt;&gt;"",$P24&lt;&gt;"T5"),"Documented","Judged"))))</f>
        <v>Documented</v>
      </c>
      <c r="T24" s="15" t="str">
        <f aca="false">IF($AC24&lt;&gt;"","",IF(OR($S24="",$S24="Gap"),"",IF($S24="Measured",1+IF($H24="H",IF($M24&gt;=$I24,1,0)+IF($M24&gt;=$J24,1,0)+IF($M24&gt;=$K24,1,0)+IF($M24&gt;=$L24,1,0),IF($M24&lt;=$I24,1,0)+IF($M24&lt;=$J24,1,0)+IF($M24&lt;=$K24,1,0)+IF($M24&lt;=$L24,1,0)),IF($R24&lt;&gt;"",$R24,""))))</f>
        <v/>
      </c>
      <c r="U24" s="15" t="str">
        <f aca="false">IF(OR($S24="",$S24="Gap",$Q24=""),"",IF($Q24&lt;Config!$C$2-Config!$C$3,"STALE",""))</f>
        <v/>
      </c>
      <c r="V24" s="15" t="n">
        <f aca="false">IF(OR(ISNUMBER(SEARCH("ALL",$E24)),ISNUMBER(SEARCH("ADV",$E24))),1,0)</f>
        <v>1</v>
      </c>
      <c r="W24" s="15" t="n">
        <f aca="false">IF(OR(ISNUMBER(SEARCH("ALL",$E24)),ISNUMBER(SEARCH("SMF",$E24))),1,0)</f>
        <v>1</v>
      </c>
      <c r="X24" s="15" t="n">
        <f aca="false">IF(OR(ISNUMBER(SEARCH("ALL",$E24)),ISNUMBER(SEARCH("MKT",$E24))),1,0)</f>
        <v>0</v>
      </c>
      <c r="Y24" s="15" t="n">
        <f aca="false">IF(OR(ISNUMBER(SEARCH("ALL",$E24)),ISNUMBER(SEARCH("SCM",$E24))),1,0)</f>
        <v>0</v>
      </c>
      <c r="Z24" s="15" t="n">
        <f aca="false">IF(OR(ISNUMBER(SEARCH("ALL",$E24)),ISNUMBER(SEARCH("FIN",$E24))),1,0)</f>
        <v>0</v>
      </c>
      <c r="AA24" s="15" t="n">
        <f aca="false">IF(OR(ISNUMBER(SEARCH("ALL",$E24)),ISNUMBER(SEARCH("AGI",$E24))),1,0)</f>
        <v>1</v>
      </c>
      <c r="AB24" s="17" t="s">
        <v>260</v>
      </c>
      <c r="AC24" s="11" t="s">
        <v>187</v>
      </c>
    </row>
    <row r="25" customFormat="false" ht="57.45" hidden="false" customHeight="false" outlineLevel="0" collapsed="false">
      <c r="A25" s="15" t="s">
        <v>261</v>
      </c>
      <c r="B25" s="10" t="s">
        <v>262</v>
      </c>
      <c r="C25" s="15" t="s">
        <v>234</v>
      </c>
      <c r="D25" s="15" t="s">
        <v>235</v>
      </c>
      <c r="E25" s="15" t="s">
        <v>263</v>
      </c>
      <c r="F25" s="15"/>
      <c r="G25" s="15" t="s">
        <v>154</v>
      </c>
      <c r="H25" s="15"/>
      <c r="M25" s="16" t="s">
        <v>264</v>
      </c>
      <c r="N25" s="16" t="s">
        <v>265</v>
      </c>
      <c r="O25" s="16" t="s">
        <v>266</v>
      </c>
      <c r="P25" s="11" t="s">
        <v>96</v>
      </c>
      <c r="Q25" s="11" t="n">
        <v>2026</v>
      </c>
      <c r="R25" s="11" t="n">
        <v>4</v>
      </c>
      <c r="S25" s="15" t="str">
        <f aca="false">IF($M25="","",IF(ISNUMBER($M25),"Measured",IF(ISNUMBER(SEARCH("DATA GAP",UPPER($M25))),"Gap",IF(AND($N25&lt;&gt;"",$P25&lt;&gt;"T5"),"Documented","Judged"))))</f>
        <v>Documented</v>
      </c>
      <c r="T25" s="15" t="n">
        <f aca="false">IF($AC25&lt;&gt;"","",IF(OR($S25="",$S25="Gap"),"",IF($S25="Measured",1+IF($H25="H",IF($M25&gt;=$I25,1,0)+IF($M25&gt;=$J25,1,0)+IF($M25&gt;=$K25,1,0)+IF($M25&gt;=$L25,1,0),IF($M25&lt;=$I25,1,0)+IF($M25&lt;=$J25,1,0)+IF($M25&lt;=$K25,1,0)+IF($M25&lt;=$L25,1,0)),IF($R25&lt;&gt;"",$R25,""))))</f>
        <v>4</v>
      </c>
      <c r="U25" s="15" t="str">
        <f aca="false">IF(OR($S25="",$S25="Gap",$Q25=""),"",IF($Q25&lt;Config!$C$2-Config!$C$3,"STALE",""))</f>
        <v/>
      </c>
      <c r="V25" s="15" t="n">
        <f aca="false">IF(OR(ISNUMBER(SEARCH("ALL",$E25)),ISNUMBER(SEARCH("ADV",$E25))),1,0)</f>
        <v>1</v>
      </c>
      <c r="W25" s="15" t="n">
        <f aca="false">IF(OR(ISNUMBER(SEARCH("ALL",$E25)),ISNUMBER(SEARCH("SMF",$E25))),1,0)</f>
        <v>1</v>
      </c>
      <c r="X25" s="15" t="n">
        <f aca="false">IF(OR(ISNUMBER(SEARCH("ALL",$E25)),ISNUMBER(SEARCH("MKT",$E25))),1,0)</f>
        <v>0</v>
      </c>
      <c r="Y25" s="15" t="n">
        <f aca="false">IF(OR(ISNUMBER(SEARCH("ALL",$E25)),ISNUMBER(SEARCH("SCM",$E25))),1,0)</f>
        <v>0</v>
      </c>
      <c r="Z25" s="15" t="n">
        <f aca="false">IF(OR(ISNUMBER(SEARCH("ALL",$E25)),ISNUMBER(SEARCH("FIN",$E25))),1,0)</f>
        <v>0</v>
      </c>
      <c r="AA25" s="15" t="n">
        <f aca="false">IF(OR(ISNUMBER(SEARCH("ALL",$E25)),ISNUMBER(SEARCH("AGI",$E25))),1,0)</f>
        <v>1</v>
      </c>
      <c r="AB25" s="17" t="s">
        <v>267</v>
      </c>
    </row>
    <row r="26" customFormat="false" ht="46.25" hidden="false" customHeight="false" outlineLevel="0" collapsed="false">
      <c r="A26" s="15" t="s">
        <v>268</v>
      </c>
      <c r="B26" s="10" t="s">
        <v>269</v>
      </c>
      <c r="C26" s="15" t="s">
        <v>234</v>
      </c>
      <c r="D26" s="15" t="s">
        <v>235</v>
      </c>
      <c r="E26" s="15" t="s">
        <v>270</v>
      </c>
      <c r="F26" s="15"/>
      <c r="G26" s="15" t="s">
        <v>154</v>
      </c>
      <c r="H26" s="15"/>
      <c r="M26" s="16" t="s">
        <v>271</v>
      </c>
      <c r="N26" s="16" t="s">
        <v>272</v>
      </c>
      <c r="O26" s="16" t="s">
        <v>273</v>
      </c>
      <c r="P26" s="11" t="s">
        <v>100</v>
      </c>
      <c r="Q26" s="11" t="n">
        <v>2026</v>
      </c>
      <c r="R26" s="11" t="n">
        <v>3</v>
      </c>
      <c r="S26" s="15" t="str">
        <f aca="false">IF($M26="","",IF(ISNUMBER($M26),"Measured",IF(ISNUMBER(SEARCH("DATA GAP",UPPER($M26))),"Gap",IF(AND($N26&lt;&gt;"",$P26&lt;&gt;"T5"),"Documented","Judged"))))</f>
        <v>Documented</v>
      </c>
      <c r="T26" s="15" t="n">
        <f aca="false">IF($AC26&lt;&gt;"","",IF(OR($S26="",$S26="Gap"),"",IF($S26="Measured",1+IF($H26="H",IF($M26&gt;=$I26,1,0)+IF($M26&gt;=$J26,1,0)+IF($M26&gt;=$K26,1,0)+IF($M26&gt;=$L26,1,0),IF($M26&lt;=$I26,1,0)+IF($M26&lt;=$J26,1,0)+IF($M26&lt;=$K26,1,0)+IF($M26&lt;=$L26,1,0)),IF($R26&lt;&gt;"",$R26,""))))</f>
        <v>3</v>
      </c>
      <c r="U26" s="15" t="str">
        <f aca="false">IF(OR($S26="",$S26="Gap",$Q26=""),"",IF($Q26&lt;Config!$C$2-Config!$C$3,"STALE",""))</f>
        <v/>
      </c>
      <c r="V26" s="15" t="n">
        <f aca="false">IF(OR(ISNUMBER(SEARCH("ALL",$E26)),ISNUMBER(SEARCH("ADV",$E26))),1,0)</f>
        <v>0</v>
      </c>
      <c r="W26" s="15" t="n">
        <f aca="false">IF(OR(ISNUMBER(SEARCH("ALL",$E26)),ISNUMBER(SEARCH("SMF",$E26))),1,0)</f>
        <v>1</v>
      </c>
      <c r="X26" s="15" t="n">
        <f aca="false">IF(OR(ISNUMBER(SEARCH("ALL",$E26)),ISNUMBER(SEARCH("MKT",$E26))),1,0)</f>
        <v>0</v>
      </c>
      <c r="Y26" s="15" t="n">
        <f aca="false">IF(OR(ISNUMBER(SEARCH("ALL",$E26)),ISNUMBER(SEARCH("SCM",$E26))),1,0)</f>
        <v>0</v>
      </c>
      <c r="Z26" s="15" t="n">
        <f aca="false">IF(OR(ISNUMBER(SEARCH("ALL",$E26)),ISNUMBER(SEARCH("FIN",$E26))),1,0)</f>
        <v>0</v>
      </c>
      <c r="AA26" s="15" t="n">
        <f aca="false">IF(OR(ISNUMBER(SEARCH("ALL",$E26)),ISNUMBER(SEARCH("AGI",$E26))),1,0)</f>
        <v>1</v>
      </c>
      <c r="AB26" s="17" t="s">
        <v>274</v>
      </c>
    </row>
    <row r="27" customFormat="false" ht="57.45" hidden="false" customHeight="false" outlineLevel="0" collapsed="false">
      <c r="A27" s="15" t="s">
        <v>275</v>
      </c>
      <c r="B27" s="10" t="s">
        <v>276</v>
      </c>
      <c r="C27" s="15" t="s">
        <v>234</v>
      </c>
      <c r="D27" s="15" t="s">
        <v>235</v>
      </c>
      <c r="E27" s="15" t="s">
        <v>277</v>
      </c>
      <c r="F27" s="15"/>
      <c r="G27" s="15" t="s">
        <v>154</v>
      </c>
      <c r="H27" s="15"/>
      <c r="M27" s="16" t="s">
        <v>278</v>
      </c>
      <c r="N27" s="16" t="s">
        <v>279</v>
      </c>
      <c r="O27" s="16" t="s">
        <v>280</v>
      </c>
      <c r="P27" s="11" t="s">
        <v>96</v>
      </c>
      <c r="Q27" s="11" t="n">
        <v>2026</v>
      </c>
      <c r="R27" s="11" t="n">
        <v>3</v>
      </c>
      <c r="S27" s="15" t="str">
        <f aca="false">IF($M27="","",IF(ISNUMBER($M27),"Measured",IF(ISNUMBER(SEARCH("DATA GAP",UPPER($M27))),"Gap",IF(AND($N27&lt;&gt;"",$P27&lt;&gt;"T5"),"Documented","Judged"))))</f>
        <v>Documented</v>
      </c>
      <c r="T27" s="15" t="n">
        <f aca="false">IF($AC27&lt;&gt;"","",IF(OR($S27="",$S27="Gap"),"",IF($S27="Measured",1+IF($H27="H",IF($M27&gt;=$I27,1,0)+IF($M27&gt;=$J27,1,0)+IF($M27&gt;=$K27,1,0)+IF($M27&gt;=$L27,1,0),IF($M27&lt;=$I27,1,0)+IF($M27&lt;=$J27,1,0)+IF($M27&lt;=$K27,1,0)+IF($M27&lt;=$L27,1,0)),IF($R27&lt;&gt;"",$R27,""))))</f>
        <v>3</v>
      </c>
      <c r="U27" s="15" t="str">
        <f aca="false">IF(OR($S27="",$S27="Gap",$Q27=""),"",IF($Q27&lt;Config!$C$2-Config!$C$3,"STALE",""))</f>
        <v/>
      </c>
      <c r="V27" s="15" t="n">
        <f aca="false">IF(OR(ISNUMBER(SEARCH("ALL",$E27)),ISNUMBER(SEARCH("ADV",$E27))),1,0)</f>
        <v>1</v>
      </c>
      <c r="W27" s="15" t="n">
        <f aca="false">IF(OR(ISNUMBER(SEARCH("ALL",$E27)),ISNUMBER(SEARCH("SMF",$E27))),1,0)</f>
        <v>1</v>
      </c>
      <c r="X27" s="15" t="n">
        <f aca="false">IF(OR(ISNUMBER(SEARCH("ALL",$E27)),ISNUMBER(SEARCH("MKT",$E27))),1,0)</f>
        <v>0</v>
      </c>
      <c r="Y27" s="15" t="n">
        <f aca="false">IF(OR(ISNUMBER(SEARCH("ALL",$E27)),ISNUMBER(SEARCH("SCM",$E27))),1,0)</f>
        <v>0</v>
      </c>
      <c r="Z27" s="15" t="n">
        <f aca="false">IF(OR(ISNUMBER(SEARCH("ALL",$E27)),ISNUMBER(SEARCH("FIN",$E27))),1,0)</f>
        <v>0</v>
      </c>
      <c r="AA27" s="15" t="n">
        <f aca="false">IF(OR(ISNUMBER(SEARCH("ALL",$E27)),ISNUMBER(SEARCH("AGI",$E27))),1,0)</f>
        <v>0</v>
      </c>
      <c r="AB27" s="17" t="s">
        <v>281</v>
      </c>
    </row>
    <row r="28" customFormat="false" ht="57.45" hidden="false" customHeight="false" outlineLevel="0" collapsed="false">
      <c r="A28" s="15" t="s">
        <v>282</v>
      </c>
      <c r="B28" s="10" t="s">
        <v>283</v>
      </c>
      <c r="C28" s="15" t="s">
        <v>234</v>
      </c>
      <c r="D28" s="15" t="s">
        <v>235</v>
      </c>
      <c r="E28" s="15" t="s">
        <v>236</v>
      </c>
      <c r="F28" s="15" t="s">
        <v>284</v>
      </c>
      <c r="G28" s="15" t="s">
        <v>154</v>
      </c>
      <c r="H28" s="15"/>
      <c r="M28" s="16" t="s">
        <v>285</v>
      </c>
      <c r="N28" s="16" t="s">
        <v>286</v>
      </c>
      <c r="O28" s="16" t="s">
        <v>287</v>
      </c>
      <c r="P28" s="11" t="s">
        <v>96</v>
      </c>
      <c r="Q28" s="11" t="n">
        <v>2026</v>
      </c>
      <c r="R28" s="11" t="n">
        <v>1</v>
      </c>
      <c r="S28" s="15" t="str">
        <f aca="false">IF($M28="","",IF(ISNUMBER($M28),"Measured",IF(ISNUMBER(SEARCH("DATA GAP",UPPER($M28))),"Gap",IF(AND($N28&lt;&gt;"",$P28&lt;&gt;"T5"),"Documented","Judged"))))</f>
        <v>Documented</v>
      </c>
      <c r="T28" s="15" t="n">
        <f aca="false">IF($AC28&lt;&gt;"","",IF(OR($S28="",$S28="Gap"),"",IF($S28="Measured",1+IF($H28="H",IF($M28&gt;=$I28,1,0)+IF($M28&gt;=$J28,1,0)+IF($M28&gt;=$K28,1,0)+IF($M28&gt;=$L28,1,0),IF($M28&lt;=$I28,1,0)+IF($M28&lt;=$J28,1,0)+IF($M28&lt;=$K28,1,0)+IF($M28&lt;=$L28,1,0)),IF($R28&lt;&gt;"",$R28,""))))</f>
        <v>1</v>
      </c>
      <c r="U28" s="15" t="str">
        <f aca="false">IF(OR($S28="",$S28="Gap",$Q28=""),"",IF($Q28&lt;Config!$C$2-Config!$C$3,"STALE",""))</f>
        <v/>
      </c>
      <c r="V28" s="15" t="n">
        <f aca="false">IF(OR(ISNUMBER(SEARCH("ALL",$E28)),ISNUMBER(SEARCH("ADV",$E28))),1,0)</f>
        <v>1</v>
      </c>
      <c r="W28" s="15" t="n">
        <f aca="false">IF(OR(ISNUMBER(SEARCH("ALL",$E28)),ISNUMBER(SEARCH("SMF",$E28))),1,0)</f>
        <v>1</v>
      </c>
      <c r="X28" s="15" t="n">
        <f aca="false">IF(OR(ISNUMBER(SEARCH("ALL",$E28)),ISNUMBER(SEARCH("MKT",$E28))),1,0)</f>
        <v>1</v>
      </c>
      <c r="Y28" s="15" t="n">
        <f aca="false">IF(OR(ISNUMBER(SEARCH("ALL",$E28)),ISNUMBER(SEARCH("SCM",$E28))),1,0)</f>
        <v>1</v>
      </c>
      <c r="Z28" s="15" t="n">
        <f aca="false">IF(OR(ISNUMBER(SEARCH("ALL",$E28)),ISNUMBER(SEARCH("FIN",$E28))),1,0)</f>
        <v>1</v>
      </c>
      <c r="AA28" s="15" t="n">
        <f aca="false">IF(OR(ISNUMBER(SEARCH("ALL",$E28)),ISNUMBER(SEARCH("AGI",$E28))),1,0)</f>
        <v>1</v>
      </c>
      <c r="AB28" s="17" t="s">
        <v>288</v>
      </c>
    </row>
    <row r="29" customFormat="false" ht="57.45" hidden="false" customHeight="false" outlineLevel="0" collapsed="false">
      <c r="A29" s="15" t="s">
        <v>289</v>
      </c>
      <c r="B29" s="10" t="s">
        <v>290</v>
      </c>
      <c r="C29" s="15" t="s">
        <v>291</v>
      </c>
      <c r="D29" s="15" t="s">
        <v>235</v>
      </c>
      <c r="E29" s="15" t="s">
        <v>202</v>
      </c>
      <c r="F29" s="15" t="s">
        <v>203</v>
      </c>
      <c r="G29" s="15" t="s">
        <v>154</v>
      </c>
      <c r="H29" s="15"/>
      <c r="M29" s="16" t="s">
        <v>292</v>
      </c>
      <c r="N29" s="16" t="s">
        <v>293</v>
      </c>
      <c r="O29" s="16" t="s">
        <v>294</v>
      </c>
      <c r="P29" s="11" t="s">
        <v>96</v>
      </c>
      <c r="Q29" s="11" t="n">
        <v>2025</v>
      </c>
      <c r="R29" s="11" t="n">
        <v>4</v>
      </c>
      <c r="S29" s="15" t="str">
        <f aca="false">IF($M29="","",IF(ISNUMBER($M29),"Measured",IF(ISNUMBER(SEARCH("DATA GAP",UPPER($M29))),"Gap",IF(AND($N29&lt;&gt;"",$P29&lt;&gt;"T5"),"Documented","Judged"))))</f>
        <v>Documented</v>
      </c>
      <c r="T29" s="15" t="n">
        <f aca="false">IF($AC29&lt;&gt;"","",IF(OR($S29="",$S29="Gap"),"",IF($S29="Measured",1+IF($H29="H",IF($M29&gt;=$I29,1,0)+IF($M29&gt;=$J29,1,0)+IF($M29&gt;=$K29,1,0)+IF($M29&gt;=$L29,1,0),IF($M29&lt;=$I29,1,0)+IF($M29&lt;=$J29,1,0)+IF($M29&lt;=$K29,1,0)+IF($M29&lt;=$L29,1,0)),IF($R29&lt;&gt;"",$R29,""))))</f>
        <v>4</v>
      </c>
      <c r="U29" s="15" t="str">
        <f aca="false">IF(OR($S29="",$S29="Gap",$Q29=""),"",IF($Q29&lt;Config!$C$2-Config!$C$3,"STALE",""))</f>
        <v/>
      </c>
      <c r="V29" s="15" t="n">
        <f aca="false">IF(OR(ISNUMBER(SEARCH("ALL",$E29)),ISNUMBER(SEARCH("ADV",$E29))),1,0)</f>
        <v>1</v>
      </c>
      <c r="W29" s="15" t="n">
        <f aca="false">IF(OR(ISNUMBER(SEARCH("ALL",$E29)),ISNUMBER(SEARCH("SMF",$E29))),1,0)</f>
        <v>1</v>
      </c>
      <c r="X29" s="15" t="n">
        <f aca="false">IF(OR(ISNUMBER(SEARCH("ALL",$E29)),ISNUMBER(SEARCH("MKT",$E29))),1,0)</f>
        <v>1</v>
      </c>
      <c r="Y29" s="15" t="n">
        <f aca="false">IF(OR(ISNUMBER(SEARCH("ALL",$E29)),ISNUMBER(SEARCH("SCM",$E29))),1,0)</f>
        <v>1</v>
      </c>
      <c r="Z29" s="15" t="n">
        <f aca="false">IF(OR(ISNUMBER(SEARCH("ALL",$E29)),ISNUMBER(SEARCH("FIN",$E29))),1,0)</f>
        <v>1</v>
      </c>
      <c r="AA29" s="15" t="n">
        <f aca="false">IF(OR(ISNUMBER(SEARCH("ALL",$E29)),ISNUMBER(SEARCH("AGI",$E29))),1,0)</f>
        <v>1</v>
      </c>
    </row>
    <row r="30" customFormat="false" ht="35.05" hidden="false" customHeight="false" outlineLevel="0" collapsed="false">
      <c r="A30" s="15" t="s">
        <v>295</v>
      </c>
      <c r="B30" s="10" t="s">
        <v>296</v>
      </c>
      <c r="C30" s="15" t="s">
        <v>291</v>
      </c>
      <c r="D30" s="15" t="s">
        <v>235</v>
      </c>
      <c r="E30" s="15" t="s">
        <v>202</v>
      </c>
      <c r="F30" s="15"/>
      <c r="G30" s="15" t="s">
        <v>143</v>
      </c>
      <c r="H30" s="15" t="s">
        <v>144</v>
      </c>
      <c r="I30" s="15" t="n">
        <v>0.2</v>
      </c>
      <c r="J30" s="15" t="n">
        <v>0.4</v>
      </c>
      <c r="K30" s="15" t="n">
        <v>0.6</v>
      </c>
      <c r="L30" s="15" t="n">
        <v>0.8</v>
      </c>
      <c r="M30" s="16" t="n">
        <v>0.824</v>
      </c>
      <c r="N30" s="16" t="s">
        <v>297</v>
      </c>
      <c r="O30" s="16" t="s">
        <v>298</v>
      </c>
      <c r="P30" s="11" t="s">
        <v>88</v>
      </c>
      <c r="Q30" s="11" t="n">
        <v>2024</v>
      </c>
      <c r="R30" s="11"/>
      <c r="S30" s="15" t="str">
        <f aca="false">IF($M30="","",IF(ISNUMBER($M30),"Measured",IF(ISNUMBER(SEARCH("DATA GAP",UPPER($M30))),"Gap",IF(AND($N30&lt;&gt;"",$P30&lt;&gt;"T5"),"Documented","Judged"))))</f>
        <v>Measured</v>
      </c>
      <c r="T30" s="15" t="n">
        <f aca="false">IF($AC30&lt;&gt;"","",IF(OR($S30="",$S30="Gap"),"",IF($S30="Measured",1+IF($H30="H",IF($M30&gt;=$I30,1,0)+IF($M30&gt;=$J30,1,0)+IF($M30&gt;=$K30,1,0)+IF($M30&gt;=$L30,1,0),IF($M30&lt;=$I30,1,0)+IF($M30&lt;=$J30,1,0)+IF($M30&lt;=$K30,1,0)+IF($M30&lt;=$L30,1,0)),IF($R30&lt;&gt;"",$R30,""))))</f>
        <v>5</v>
      </c>
      <c r="U30" s="15" t="str">
        <f aca="false">IF(OR($S30="",$S30="Gap",$Q30=""),"",IF($Q30&lt;Config!$C$2-Config!$C$3,"STALE",""))</f>
        <v/>
      </c>
      <c r="V30" s="15" t="n">
        <f aca="false">IF(OR(ISNUMBER(SEARCH("ALL",$E30)),ISNUMBER(SEARCH("ADV",$E30))),1,0)</f>
        <v>1</v>
      </c>
      <c r="W30" s="15" t="n">
        <f aca="false">IF(OR(ISNUMBER(SEARCH("ALL",$E30)),ISNUMBER(SEARCH("SMF",$E30))),1,0)</f>
        <v>1</v>
      </c>
      <c r="X30" s="15" t="n">
        <f aca="false">IF(OR(ISNUMBER(SEARCH("ALL",$E30)),ISNUMBER(SEARCH("MKT",$E30))),1,0)</f>
        <v>1</v>
      </c>
      <c r="Y30" s="15" t="n">
        <f aca="false">IF(OR(ISNUMBER(SEARCH("ALL",$E30)),ISNUMBER(SEARCH("SCM",$E30))),1,0)</f>
        <v>1</v>
      </c>
      <c r="Z30" s="15" t="n">
        <f aca="false">IF(OR(ISNUMBER(SEARCH("ALL",$E30)),ISNUMBER(SEARCH("FIN",$E30))),1,0)</f>
        <v>1</v>
      </c>
      <c r="AA30" s="15" t="n">
        <f aca="false">IF(OR(ISNUMBER(SEARCH("ALL",$E30)),ISNUMBER(SEARCH("AGI",$E30))),1,0)</f>
        <v>1</v>
      </c>
      <c r="AB30" s="17" t="s">
        <v>299</v>
      </c>
    </row>
    <row r="31" customFormat="false" ht="46.25" hidden="false" customHeight="false" outlineLevel="0" collapsed="false">
      <c r="A31" s="15" t="s">
        <v>300</v>
      </c>
      <c r="B31" s="10" t="s">
        <v>301</v>
      </c>
      <c r="C31" s="15" t="s">
        <v>291</v>
      </c>
      <c r="D31" s="15" t="s">
        <v>235</v>
      </c>
      <c r="E31" s="15" t="s">
        <v>236</v>
      </c>
      <c r="F31" s="15"/>
      <c r="G31" s="15" t="s">
        <v>143</v>
      </c>
      <c r="H31" s="15" t="s">
        <v>144</v>
      </c>
      <c r="I31" s="15" t="n">
        <v>20</v>
      </c>
      <c r="J31" s="15" t="n">
        <v>40</v>
      </c>
      <c r="K31" s="15" t="n">
        <v>60</v>
      </c>
      <c r="L31" s="15" t="n">
        <v>80</v>
      </c>
      <c r="M31" s="16" t="n">
        <v>43.33</v>
      </c>
      <c r="N31" s="16" t="s">
        <v>302</v>
      </c>
      <c r="O31" s="16" t="s">
        <v>303</v>
      </c>
      <c r="P31" s="11" t="s">
        <v>100</v>
      </c>
      <c r="Q31" s="11" t="n">
        <v>2024</v>
      </c>
      <c r="R31" s="11"/>
      <c r="S31" s="15" t="str">
        <f aca="false">IF($M31="","",IF(ISNUMBER($M31),"Measured",IF(ISNUMBER(SEARCH("DATA GAP",UPPER($M31))),"Gap",IF(AND($N31&lt;&gt;"",$P31&lt;&gt;"T5"),"Documented","Judged"))))</f>
        <v>Measured</v>
      </c>
      <c r="T31" s="15" t="n">
        <f aca="false">IF($AC31&lt;&gt;"","",IF(OR($S31="",$S31="Gap"),"",IF($S31="Measured",1+IF($H31="H",IF($M31&gt;=$I31,1,0)+IF($M31&gt;=$J31,1,0)+IF($M31&gt;=$K31,1,0)+IF($M31&gt;=$L31,1,0),IF($M31&lt;=$I31,1,0)+IF($M31&lt;=$J31,1,0)+IF($M31&lt;=$K31,1,0)+IF($M31&lt;=$L31,1,0)),IF($R31&lt;&gt;"",$R31,""))))</f>
        <v>3</v>
      </c>
      <c r="U31" s="15" t="str">
        <f aca="false">IF(OR($S31="",$S31="Gap",$Q31=""),"",IF($Q31&lt;Config!$C$2-Config!$C$3,"STALE",""))</f>
        <v/>
      </c>
      <c r="V31" s="15" t="n">
        <f aca="false">IF(OR(ISNUMBER(SEARCH("ALL",$E31)),ISNUMBER(SEARCH("ADV",$E31))),1,0)</f>
        <v>1</v>
      </c>
      <c r="W31" s="15" t="n">
        <f aca="false">IF(OR(ISNUMBER(SEARCH("ALL",$E31)),ISNUMBER(SEARCH("SMF",$E31))),1,0)</f>
        <v>1</v>
      </c>
      <c r="X31" s="15" t="n">
        <f aca="false">IF(OR(ISNUMBER(SEARCH("ALL",$E31)),ISNUMBER(SEARCH("MKT",$E31))),1,0)</f>
        <v>1</v>
      </c>
      <c r="Y31" s="15" t="n">
        <f aca="false">IF(OR(ISNUMBER(SEARCH("ALL",$E31)),ISNUMBER(SEARCH("SCM",$E31))),1,0)</f>
        <v>1</v>
      </c>
      <c r="Z31" s="15" t="n">
        <f aca="false">IF(OR(ISNUMBER(SEARCH("ALL",$E31)),ISNUMBER(SEARCH("FIN",$E31))),1,0)</f>
        <v>1</v>
      </c>
      <c r="AA31" s="15" t="n">
        <f aca="false">IF(OR(ISNUMBER(SEARCH("ALL",$E31)),ISNUMBER(SEARCH("AGI",$E31))),1,0)</f>
        <v>1</v>
      </c>
      <c r="AB31" s="17" t="s">
        <v>304</v>
      </c>
    </row>
    <row r="32" customFormat="false" ht="57.45" hidden="false" customHeight="false" outlineLevel="0" collapsed="false">
      <c r="A32" s="15" t="s">
        <v>305</v>
      </c>
      <c r="B32" s="10" t="s">
        <v>306</v>
      </c>
      <c r="C32" s="15" t="s">
        <v>291</v>
      </c>
      <c r="D32" s="15" t="s">
        <v>235</v>
      </c>
      <c r="E32" s="15" t="s">
        <v>202</v>
      </c>
      <c r="F32" s="15"/>
      <c r="G32" s="15" t="s">
        <v>154</v>
      </c>
      <c r="H32" s="15"/>
      <c r="M32" s="16" t="s">
        <v>307</v>
      </c>
      <c r="N32" s="16" t="s">
        <v>308</v>
      </c>
      <c r="O32" s="16" t="s">
        <v>309</v>
      </c>
      <c r="P32" s="11" t="s">
        <v>96</v>
      </c>
      <c r="Q32" s="11" t="n">
        <v>2026</v>
      </c>
      <c r="R32" s="11" t="n">
        <v>2</v>
      </c>
      <c r="S32" s="15" t="str">
        <f aca="false">IF($M32="","",IF(ISNUMBER($M32),"Measured",IF(ISNUMBER(SEARCH("DATA GAP",UPPER($M32))),"Gap",IF(AND($N32&lt;&gt;"",$P32&lt;&gt;"T5"),"Documented","Judged"))))</f>
        <v>Documented</v>
      </c>
      <c r="T32" s="15" t="n">
        <f aca="false">IF($AC32&lt;&gt;"","",IF(OR($S32="",$S32="Gap"),"",IF($S32="Measured",1+IF($H32="H",IF($M32&gt;=$I32,1,0)+IF($M32&gt;=$J32,1,0)+IF($M32&gt;=$K32,1,0)+IF($M32&gt;=$L32,1,0),IF($M32&lt;=$I32,1,0)+IF($M32&lt;=$J32,1,0)+IF($M32&lt;=$K32,1,0)+IF($M32&lt;=$L32,1,0)),IF($R32&lt;&gt;"",$R32,""))))</f>
        <v>2</v>
      </c>
      <c r="U32" s="15" t="str">
        <f aca="false">IF(OR($S32="",$S32="Gap",$Q32=""),"",IF($Q32&lt;Config!$C$2-Config!$C$3,"STALE",""))</f>
        <v/>
      </c>
      <c r="V32" s="15" t="n">
        <f aca="false">IF(OR(ISNUMBER(SEARCH("ALL",$E32)),ISNUMBER(SEARCH("ADV",$E32))),1,0)</f>
        <v>1</v>
      </c>
      <c r="W32" s="15" t="n">
        <f aca="false">IF(OR(ISNUMBER(SEARCH("ALL",$E32)),ISNUMBER(SEARCH("SMF",$E32))),1,0)</f>
        <v>1</v>
      </c>
      <c r="X32" s="15" t="n">
        <f aca="false">IF(OR(ISNUMBER(SEARCH("ALL",$E32)),ISNUMBER(SEARCH("MKT",$E32))),1,0)</f>
        <v>1</v>
      </c>
      <c r="Y32" s="15" t="n">
        <f aca="false">IF(OR(ISNUMBER(SEARCH("ALL",$E32)),ISNUMBER(SEARCH("SCM",$E32))),1,0)</f>
        <v>1</v>
      </c>
      <c r="Z32" s="15" t="n">
        <f aca="false">IF(OR(ISNUMBER(SEARCH("ALL",$E32)),ISNUMBER(SEARCH("FIN",$E32))),1,0)</f>
        <v>1</v>
      </c>
      <c r="AA32" s="15" t="n">
        <f aca="false">IF(OR(ISNUMBER(SEARCH("ALL",$E32)),ISNUMBER(SEARCH("AGI",$E32))),1,0)</f>
        <v>1</v>
      </c>
      <c r="AB32" s="17" t="s">
        <v>310</v>
      </c>
    </row>
    <row r="33" customFormat="false" ht="46.25" hidden="false" customHeight="false" outlineLevel="0" collapsed="false">
      <c r="A33" s="15" t="s">
        <v>311</v>
      </c>
      <c r="B33" s="10" t="s">
        <v>312</v>
      </c>
      <c r="C33" s="15" t="s">
        <v>291</v>
      </c>
      <c r="D33" s="15" t="s">
        <v>235</v>
      </c>
      <c r="E33" s="15" t="s">
        <v>313</v>
      </c>
      <c r="F33" s="15" t="s">
        <v>284</v>
      </c>
      <c r="G33" s="15" t="s">
        <v>154</v>
      </c>
      <c r="H33" s="15"/>
      <c r="M33" s="16" t="s">
        <v>314</v>
      </c>
      <c r="N33" s="16" t="s">
        <v>315</v>
      </c>
      <c r="O33" s="16" t="s">
        <v>316</v>
      </c>
      <c r="P33" s="11" t="s">
        <v>96</v>
      </c>
      <c r="Q33" s="11" t="n">
        <v>2026</v>
      </c>
      <c r="R33" s="11" t="n">
        <v>1</v>
      </c>
      <c r="S33" s="15" t="str">
        <f aca="false">IF($M33="","",IF(ISNUMBER($M33),"Measured",IF(ISNUMBER(SEARCH("DATA GAP",UPPER($M33))),"Gap",IF(AND($N33&lt;&gt;"",$P33&lt;&gt;"T5"),"Documented","Judged"))))</f>
        <v>Documented</v>
      </c>
      <c r="T33" s="15" t="n">
        <f aca="false">IF($AC33&lt;&gt;"","",IF(OR($S33="",$S33="Gap"),"",IF($S33="Measured",1+IF($H33="H",IF($M33&gt;=$I33,1,0)+IF($M33&gt;=$J33,1,0)+IF($M33&gt;=$K33,1,0)+IF($M33&gt;=$L33,1,0),IF($M33&lt;=$I33,1,0)+IF($M33&lt;=$J33,1,0)+IF($M33&lt;=$K33,1,0)+IF($M33&lt;=$L33,1,0)),IF($R33&lt;&gt;"",$R33,""))))</f>
        <v>1</v>
      </c>
      <c r="U33" s="15" t="str">
        <f aca="false">IF(OR($S33="",$S33="Gap",$Q33=""),"",IF($Q33&lt;Config!$C$2-Config!$C$3,"STALE",""))</f>
        <v/>
      </c>
      <c r="V33" s="15" t="n">
        <f aca="false">IF(OR(ISNUMBER(SEARCH("ALL",$E33)),ISNUMBER(SEARCH("ADV",$E33))),1,0)</f>
        <v>0</v>
      </c>
      <c r="W33" s="15" t="n">
        <f aca="false">IF(OR(ISNUMBER(SEARCH("ALL",$E33)),ISNUMBER(SEARCH("SMF",$E33))),1,0)</f>
        <v>0</v>
      </c>
      <c r="X33" s="15" t="n">
        <f aca="false">IF(OR(ISNUMBER(SEARCH("ALL",$E33)),ISNUMBER(SEARCH("MKT",$E33))),1,0)</f>
        <v>0</v>
      </c>
      <c r="Y33" s="15" t="n">
        <f aca="false">IF(OR(ISNUMBER(SEARCH("ALL",$E33)),ISNUMBER(SEARCH("SCM",$E33))),1,0)</f>
        <v>0</v>
      </c>
      <c r="Z33" s="15" t="n">
        <f aca="false">IF(OR(ISNUMBER(SEARCH("ALL",$E33)),ISNUMBER(SEARCH("FIN",$E33))),1,0)</f>
        <v>1</v>
      </c>
      <c r="AA33" s="15" t="n">
        <f aca="false">IF(OR(ISNUMBER(SEARCH("ALL",$E33)),ISNUMBER(SEARCH("AGI",$E33))),1,0)</f>
        <v>1</v>
      </c>
    </row>
    <row r="34" customFormat="false" ht="57.45" hidden="false" customHeight="false" outlineLevel="0" collapsed="false">
      <c r="A34" s="15" t="s">
        <v>317</v>
      </c>
      <c r="B34" s="10" t="s">
        <v>318</v>
      </c>
      <c r="C34" s="15" t="s">
        <v>291</v>
      </c>
      <c r="D34" s="15" t="s">
        <v>235</v>
      </c>
      <c r="E34" s="15" t="s">
        <v>236</v>
      </c>
      <c r="F34" s="15"/>
      <c r="G34" s="15" t="s">
        <v>154</v>
      </c>
      <c r="H34" s="15"/>
      <c r="M34" s="16" t="s">
        <v>319</v>
      </c>
      <c r="N34" s="16" t="s">
        <v>320</v>
      </c>
      <c r="O34" s="16" t="s">
        <v>321</v>
      </c>
      <c r="P34" s="11" t="s">
        <v>96</v>
      </c>
      <c r="Q34" s="11" t="n">
        <v>2025</v>
      </c>
      <c r="R34" s="11" t="n">
        <v>3</v>
      </c>
      <c r="S34" s="15" t="str">
        <f aca="false">IF($M34="","",IF(ISNUMBER($M34),"Measured",IF(ISNUMBER(SEARCH("DATA GAP",UPPER($M34))),"Gap",IF(AND($N34&lt;&gt;"",$P34&lt;&gt;"T5"),"Documented","Judged"))))</f>
        <v>Documented</v>
      </c>
      <c r="T34" s="15" t="n">
        <f aca="false">IF($AC34&lt;&gt;"","",IF(OR($S34="",$S34="Gap"),"",IF($S34="Measured",1+IF($H34="H",IF($M34&gt;=$I34,1,0)+IF($M34&gt;=$J34,1,0)+IF($M34&gt;=$K34,1,0)+IF($M34&gt;=$L34,1,0),IF($M34&lt;=$I34,1,0)+IF($M34&lt;=$J34,1,0)+IF($M34&lt;=$K34,1,0)+IF($M34&lt;=$L34,1,0)),IF($R34&lt;&gt;"",$R34,""))))</f>
        <v>3</v>
      </c>
      <c r="U34" s="15" t="str">
        <f aca="false">IF(OR($S34="",$S34="Gap",$Q34=""),"",IF($Q34&lt;Config!$C$2-Config!$C$3,"STALE",""))</f>
        <v/>
      </c>
      <c r="V34" s="15" t="n">
        <f aca="false">IF(OR(ISNUMBER(SEARCH("ALL",$E34)),ISNUMBER(SEARCH("ADV",$E34))),1,0)</f>
        <v>1</v>
      </c>
      <c r="W34" s="15" t="n">
        <f aca="false">IF(OR(ISNUMBER(SEARCH("ALL",$E34)),ISNUMBER(SEARCH("SMF",$E34))),1,0)</f>
        <v>1</v>
      </c>
      <c r="X34" s="15" t="n">
        <f aca="false">IF(OR(ISNUMBER(SEARCH("ALL",$E34)),ISNUMBER(SEARCH("MKT",$E34))),1,0)</f>
        <v>1</v>
      </c>
      <c r="Y34" s="15" t="n">
        <f aca="false">IF(OR(ISNUMBER(SEARCH("ALL",$E34)),ISNUMBER(SEARCH("SCM",$E34))),1,0)</f>
        <v>1</v>
      </c>
      <c r="Z34" s="15" t="n">
        <f aca="false">IF(OR(ISNUMBER(SEARCH("ALL",$E34)),ISNUMBER(SEARCH("FIN",$E34))),1,0)</f>
        <v>1</v>
      </c>
      <c r="AA34" s="15" t="n">
        <f aca="false">IF(OR(ISNUMBER(SEARCH("ALL",$E34)),ISNUMBER(SEARCH("AGI",$E34))),1,0)</f>
        <v>1</v>
      </c>
      <c r="AB34" s="17" t="s">
        <v>322</v>
      </c>
    </row>
    <row r="35" customFormat="false" ht="46.25" hidden="false" customHeight="false" outlineLevel="0" collapsed="false">
      <c r="A35" s="15" t="s">
        <v>323</v>
      </c>
      <c r="B35" s="10" t="s">
        <v>324</v>
      </c>
      <c r="C35" s="15" t="s">
        <v>291</v>
      </c>
      <c r="D35" s="15" t="s">
        <v>235</v>
      </c>
      <c r="E35" s="15" t="s">
        <v>325</v>
      </c>
      <c r="F35" s="15" t="s">
        <v>326</v>
      </c>
      <c r="G35" s="15" t="s">
        <v>143</v>
      </c>
      <c r="H35" s="15" t="s">
        <v>144</v>
      </c>
      <c r="I35" s="15" t="n">
        <v>20</v>
      </c>
      <c r="J35" s="15" t="n">
        <v>40</v>
      </c>
      <c r="K35" s="15" t="n">
        <v>60</v>
      </c>
      <c r="L35" s="15" t="n">
        <v>80</v>
      </c>
      <c r="M35" s="16" t="n">
        <v>79.0803710088225</v>
      </c>
      <c r="N35" s="16" t="s">
        <v>327</v>
      </c>
      <c r="O35" s="16" t="s">
        <v>328</v>
      </c>
      <c r="P35" s="11" t="s">
        <v>88</v>
      </c>
      <c r="Q35" s="11" t="n">
        <v>2024</v>
      </c>
      <c r="R35" s="11"/>
      <c r="S35" s="15" t="str">
        <f aca="false">IF($M35="","",IF(ISNUMBER($M35),"Measured",IF(ISNUMBER(SEARCH("DATA GAP",UPPER($M35))),"Gap",IF(AND($N35&lt;&gt;"",$P35&lt;&gt;"T5"),"Documented","Judged"))))</f>
        <v>Measured</v>
      </c>
      <c r="T35" s="15" t="n">
        <f aca="false">IF($AC35&lt;&gt;"","",IF(OR($S35="",$S35="Gap"),"",IF($S35="Measured",1+IF($H35="H",IF($M35&gt;=$I35,1,0)+IF($M35&gt;=$J35,1,0)+IF($M35&gt;=$K35,1,0)+IF($M35&gt;=$L35,1,0),IF($M35&lt;=$I35,1,0)+IF($M35&lt;=$J35,1,0)+IF($M35&lt;=$K35,1,0)+IF($M35&lt;=$L35,1,0)),IF($R35&lt;&gt;"",$R35,""))))</f>
        <v>4</v>
      </c>
      <c r="U35" s="15" t="str">
        <f aca="false">IF(OR($S35="",$S35="Gap",$Q35=""),"",IF($Q35&lt;Config!$C$2-Config!$C$3,"STALE",""))</f>
        <v/>
      </c>
      <c r="V35" s="15" t="n">
        <f aca="false">IF(OR(ISNUMBER(SEARCH("ALL",$E35)),ISNUMBER(SEARCH("ADV",$E35))),1,0)</f>
        <v>1</v>
      </c>
      <c r="W35" s="15" t="n">
        <f aca="false">IF(OR(ISNUMBER(SEARCH("ALL",$E35)),ISNUMBER(SEARCH("SMF",$E35))),1,0)</f>
        <v>1</v>
      </c>
      <c r="X35" s="15" t="n">
        <f aca="false">IF(OR(ISNUMBER(SEARCH("ALL",$E35)),ISNUMBER(SEARCH("MKT",$E35))),1,0)</f>
        <v>1</v>
      </c>
      <c r="Y35" s="15" t="n">
        <f aca="false">IF(OR(ISNUMBER(SEARCH("ALL",$E35)),ISNUMBER(SEARCH("SCM",$E35))),1,0)</f>
        <v>1</v>
      </c>
      <c r="Z35" s="15" t="n">
        <f aca="false">IF(OR(ISNUMBER(SEARCH("ALL",$E35)),ISNUMBER(SEARCH("FIN",$E35))),1,0)</f>
        <v>1</v>
      </c>
      <c r="AA35" s="15" t="n">
        <f aca="false">IF(OR(ISNUMBER(SEARCH("ALL",$E35)),ISNUMBER(SEARCH("AGI",$E35))),1,0)</f>
        <v>1</v>
      </c>
      <c r="AB35" s="17" t="s">
        <v>329</v>
      </c>
    </row>
    <row r="36" customFormat="false" ht="57.45" hidden="false" customHeight="false" outlineLevel="0" collapsed="false">
      <c r="A36" s="15" t="s">
        <v>330</v>
      </c>
      <c r="B36" s="10" t="s">
        <v>331</v>
      </c>
      <c r="C36" s="15" t="s">
        <v>291</v>
      </c>
      <c r="D36" s="15" t="s">
        <v>235</v>
      </c>
      <c r="E36" s="15" t="s">
        <v>202</v>
      </c>
      <c r="F36" s="15" t="s">
        <v>332</v>
      </c>
      <c r="G36" s="15" t="s">
        <v>154</v>
      </c>
      <c r="H36" s="15"/>
      <c r="M36" s="16" t="s">
        <v>333</v>
      </c>
      <c r="N36" s="16" t="s">
        <v>334</v>
      </c>
      <c r="O36" s="16" t="s">
        <v>335</v>
      </c>
      <c r="P36" s="11" t="s">
        <v>96</v>
      </c>
      <c r="Q36" s="11" t="n">
        <v>2026</v>
      </c>
      <c r="R36" s="11" t="n">
        <v>1</v>
      </c>
      <c r="S36" s="15" t="str">
        <f aca="false">IF($M36="","",IF(ISNUMBER($M36),"Measured",IF(ISNUMBER(SEARCH("DATA GAP",UPPER($M36))),"Gap",IF(AND($N36&lt;&gt;"",$P36&lt;&gt;"T5"),"Documented","Judged"))))</f>
        <v>Documented</v>
      </c>
      <c r="T36" s="15" t="n">
        <f aca="false">IF($AC36&lt;&gt;"","",IF(OR($S36="",$S36="Gap"),"",IF($S36="Measured",1+IF($H36="H",IF($M36&gt;=$I36,1,0)+IF($M36&gt;=$J36,1,0)+IF($M36&gt;=$K36,1,0)+IF($M36&gt;=$L36,1,0),IF($M36&lt;=$I36,1,0)+IF($M36&lt;=$J36,1,0)+IF($M36&lt;=$K36,1,0)+IF($M36&lt;=$L36,1,0)),IF($R36&lt;&gt;"",$R36,""))))</f>
        <v>1</v>
      </c>
      <c r="U36" s="15" t="str">
        <f aca="false">IF(OR($S36="",$S36="Gap",$Q36=""),"",IF($Q36&lt;Config!$C$2-Config!$C$3,"STALE",""))</f>
        <v/>
      </c>
      <c r="V36" s="15" t="n">
        <f aca="false">IF(OR(ISNUMBER(SEARCH("ALL",$E36)),ISNUMBER(SEARCH("ADV",$E36))),1,0)</f>
        <v>1</v>
      </c>
      <c r="W36" s="15" t="n">
        <f aca="false">IF(OR(ISNUMBER(SEARCH("ALL",$E36)),ISNUMBER(SEARCH("SMF",$E36))),1,0)</f>
        <v>1</v>
      </c>
      <c r="X36" s="15" t="n">
        <f aca="false">IF(OR(ISNUMBER(SEARCH("ALL",$E36)),ISNUMBER(SEARCH("MKT",$E36))),1,0)</f>
        <v>1</v>
      </c>
      <c r="Y36" s="15" t="n">
        <f aca="false">IF(OR(ISNUMBER(SEARCH("ALL",$E36)),ISNUMBER(SEARCH("SCM",$E36))),1,0)</f>
        <v>1</v>
      </c>
      <c r="Z36" s="15" t="n">
        <f aca="false">IF(OR(ISNUMBER(SEARCH("ALL",$E36)),ISNUMBER(SEARCH("FIN",$E36))),1,0)</f>
        <v>1</v>
      </c>
      <c r="AA36" s="15" t="n">
        <f aca="false">IF(OR(ISNUMBER(SEARCH("ALL",$E36)),ISNUMBER(SEARCH("AGI",$E36))),1,0)</f>
        <v>1</v>
      </c>
      <c r="AB36" s="17" t="s">
        <v>336</v>
      </c>
    </row>
    <row r="37" customFormat="false" ht="46.25" hidden="false" customHeight="false" outlineLevel="0" collapsed="false">
      <c r="A37" s="15" t="s">
        <v>337</v>
      </c>
      <c r="B37" s="10" t="s">
        <v>338</v>
      </c>
      <c r="C37" s="15" t="s">
        <v>339</v>
      </c>
      <c r="D37" s="15" t="s">
        <v>235</v>
      </c>
      <c r="E37" s="15" t="s">
        <v>202</v>
      </c>
      <c r="F37" s="15"/>
      <c r="G37" s="15" t="s">
        <v>143</v>
      </c>
      <c r="H37" s="15" t="s">
        <v>144</v>
      </c>
      <c r="I37" s="15" t="n">
        <v>50</v>
      </c>
      <c r="J37" s="15" t="n">
        <v>65</v>
      </c>
      <c r="K37" s="15" t="n">
        <v>80</v>
      </c>
      <c r="L37" s="15" t="n">
        <v>90</v>
      </c>
      <c r="M37" s="16" t="n">
        <v>70.4100036621094</v>
      </c>
      <c r="N37" s="16" t="s">
        <v>340</v>
      </c>
      <c r="O37" s="16" t="s">
        <v>341</v>
      </c>
      <c r="P37" s="11" t="s">
        <v>88</v>
      </c>
      <c r="Q37" s="11" t="n">
        <v>2024</v>
      </c>
      <c r="R37" s="11"/>
      <c r="S37" s="15" t="str">
        <f aca="false">IF($M37="","",IF(ISNUMBER($M37),"Measured",IF(ISNUMBER(SEARCH("DATA GAP",UPPER($M37))),"Gap",IF(AND($N37&lt;&gt;"",$P37&lt;&gt;"T5"),"Documented","Judged"))))</f>
        <v>Measured</v>
      </c>
      <c r="T37" s="15" t="n">
        <f aca="false">IF($AC37&lt;&gt;"","",IF(OR($S37="",$S37="Gap"),"",IF($S37="Measured",1+IF($H37="H",IF($M37&gt;=$I37,1,0)+IF($M37&gt;=$J37,1,0)+IF($M37&gt;=$K37,1,0)+IF($M37&gt;=$L37,1,0),IF($M37&lt;=$I37,1,0)+IF($M37&lt;=$J37,1,0)+IF($M37&lt;=$K37,1,0)+IF($M37&lt;=$L37,1,0)),IF($R37&lt;&gt;"",$R37,""))))</f>
        <v>3</v>
      </c>
      <c r="U37" s="15" t="str">
        <f aca="false">IF(OR($S37="",$S37="Gap",$Q37=""),"",IF($Q37&lt;Config!$C$2-Config!$C$3,"STALE",""))</f>
        <v/>
      </c>
      <c r="V37" s="15" t="n">
        <f aca="false">IF(OR(ISNUMBER(SEARCH("ALL",$E37)),ISNUMBER(SEARCH("ADV",$E37))),1,0)</f>
        <v>1</v>
      </c>
      <c r="W37" s="15" t="n">
        <f aca="false">IF(OR(ISNUMBER(SEARCH("ALL",$E37)),ISNUMBER(SEARCH("SMF",$E37))),1,0)</f>
        <v>1</v>
      </c>
      <c r="X37" s="15" t="n">
        <f aca="false">IF(OR(ISNUMBER(SEARCH("ALL",$E37)),ISNUMBER(SEARCH("MKT",$E37))),1,0)</f>
        <v>1</v>
      </c>
      <c r="Y37" s="15" t="n">
        <f aca="false">IF(OR(ISNUMBER(SEARCH("ALL",$E37)),ISNUMBER(SEARCH("SCM",$E37))),1,0)</f>
        <v>1</v>
      </c>
      <c r="Z37" s="15" t="n">
        <f aca="false">IF(OR(ISNUMBER(SEARCH("ALL",$E37)),ISNUMBER(SEARCH("FIN",$E37))),1,0)</f>
        <v>1</v>
      </c>
      <c r="AA37" s="15" t="n">
        <f aca="false">IF(OR(ISNUMBER(SEARCH("ALL",$E37)),ISNUMBER(SEARCH("AGI",$E37))),1,0)</f>
        <v>1</v>
      </c>
    </row>
    <row r="38" customFormat="false" ht="46.25" hidden="false" customHeight="false" outlineLevel="0" collapsed="false">
      <c r="A38" s="15" t="s">
        <v>342</v>
      </c>
      <c r="B38" s="10" t="s">
        <v>343</v>
      </c>
      <c r="C38" s="15" t="s">
        <v>339</v>
      </c>
      <c r="D38" s="15" t="s">
        <v>235</v>
      </c>
      <c r="E38" s="15" t="s">
        <v>202</v>
      </c>
      <c r="F38" s="15"/>
      <c r="G38" s="15" t="s">
        <v>143</v>
      </c>
      <c r="H38" s="15" t="s">
        <v>144</v>
      </c>
      <c r="I38" s="15" t="n">
        <v>10</v>
      </c>
      <c r="J38" s="15" t="n">
        <v>20</v>
      </c>
      <c r="K38" s="15" t="n">
        <v>30</v>
      </c>
      <c r="L38" s="15" t="n">
        <v>40</v>
      </c>
      <c r="M38" s="16" t="n">
        <v>9.74153350922586</v>
      </c>
      <c r="N38" s="16" t="s">
        <v>344</v>
      </c>
      <c r="O38" s="16" t="s">
        <v>345</v>
      </c>
      <c r="P38" s="11" t="s">
        <v>88</v>
      </c>
      <c r="Q38" s="11" t="n">
        <v>2011</v>
      </c>
      <c r="R38" s="11"/>
      <c r="S38" s="15" t="str">
        <f aca="false">IF($M38="","",IF(ISNUMBER($M38),"Measured",IF(ISNUMBER(SEARCH("DATA GAP",UPPER($M38))),"Gap",IF(AND($N38&lt;&gt;"",$P38&lt;&gt;"T5"),"Documented","Judged"))))</f>
        <v>Measured</v>
      </c>
      <c r="T38" s="15" t="str">
        <f aca="false">IF($AC38&lt;&gt;"","",IF(OR($S38="",$S38="Gap"),"",IF($S38="Measured",1+IF($H38="H",IF($M38&gt;=$I38,1,0)+IF($M38&gt;=$J38,1,0)+IF($M38&gt;=$K38,1,0)+IF($M38&gt;=$L38,1,0),IF($M38&lt;=$I38,1,0)+IF($M38&lt;=$J38,1,0)+IF($M38&lt;=$K38,1,0)+IF($M38&lt;=$L38,1,0)),IF($R38&lt;&gt;"",$R38,""))))</f>
        <v/>
      </c>
      <c r="U38" s="15" t="str">
        <f aca="false">IF(OR($S38="",$S38="Gap",$Q38=""),"",IF($Q38&lt;Config!$C$2-Config!$C$3,"STALE",""))</f>
        <v>STALE</v>
      </c>
      <c r="V38" s="15" t="n">
        <f aca="false">IF(OR(ISNUMBER(SEARCH("ALL",$E38)),ISNUMBER(SEARCH("ADV",$E38))),1,0)</f>
        <v>1</v>
      </c>
      <c r="W38" s="15" t="n">
        <f aca="false">IF(OR(ISNUMBER(SEARCH("ALL",$E38)),ISNUMBER(SEARCH("SMF",$E38))),1,0)</f>
        <v>1</v>
      </c>
      <c r="X38" s="15" t="n">
        <f aca="false">IF(OR(ISNUMBER(SEARCH("ALL",$E38)),ISNUMBER(SEARCH("MKT",$E38))),1,0)</f>
        <v>1</v>
      </c>
      <c r="Y38" s="15" t="n">
        <f aca="false">IF(OR(ISNUMBER(SEARCH("ALL",$E38)),ISNUMBER(SEARCH("SCM",$E38))),1,0)</f>
        <v>1</v>
      </c>
      <c r="Z38" s="15" t="n">
        <f aca="false">IF(OR(ISNUMBER(SEARCH("ALL",$E38)),ISNUMBER(SEARCH("FIN",$E38))),1,0)</f>
        <v>1</v>
      </c>
      <c r="AA38" s="15" t="n">
        <f aca="false">IF(OR(ISNUMBER(SEARCH("ALL",$E38)),ISNUMBER(SEARCH("AGI",$E38))),1,0)</f>
        <v>1</v>
      </c>
      <c r="AB38" s="17" t="s">
        <v>346</v>
      </c>
      <c r="AC38" s="11" t="s">
        <v>187</v>
      </c>
    </row>
    <row r="39" customFormat="false" ht="46.25" hidden="false" customHeight="false" outlineLevel="0" collapsed="false">
      <c r="A39" s="15" t="s">
        <v>347</v>
      </c>
      <c r="B39" s="10" t="s">
        <v>348</v>
      </c>
      <c r="C39" s="15" t="s">
        <v>339</v>
      </c>
      <c r="D39" s="15" t="s">
        <v>235</v>
      </c>
      <c r="E39" s="15" t="s">
        <v>202</v>
      </c>
      <c r="F39" s="15"/>
      <c r="G39" s="15" t="s">
        <v>143</v>
      </c>
      <c r="H39" s="15" t="s">
        <v>144</v>
      </c>
      <c r="I39" s="15" t="n">
        <v>10</v>
      </c>
      <c r="J39" s="15" t="n">
        <v>25</v>
      </c>
      <c r="K39" s="15" t="n">
        <v>50</v>
      </c>
      <c r="L39" s="15" t="n">
        <v>75</v>
      </c>
      <c r="M39" s="16" t="s">
        <v>349</v>
      </c>
      <c r="N39" s="16" t="s">
        <v>350</v>
      </c>
      <c r="O39" s="16" t="s">
        <v>351</v>
      </c>
      <c r="P39" s="11" t="s">
        <v>92</v>
      </c>
      <c r="Q39" s="11" t="n">
        <v>2021</v>
      </c>
      <c r="R39" s="11"/>
      <c r="S39" s="15" t="str">
        <f aca="false">IF($M39="","",IF(ISNUMBER($M39),"Measured",IF(ISNUMBER(SEARCH("DATA GAP",UPPER($M39))),"Gap",IF(AND($N39&lt;&gt;"",$P39&lt;&gt;"T5"),"Documented","Judged"))))</f>
        <v>Documented</v>
      </c>
      <c r="T39" s="15" t="str">
        <f aca="false">IF($AC39&lt;&gt;"","",IF(OR($S39="",$S39="Gap"),"",IF($S39="Measured",1+IF($H39="H",IF($M39&gt;=$I39,1,0)+IF($M39&gt;=$J39,1,0)+IF($M39&gt;=$K39,1,0)+IF($M39&gt;=$L39,1,0),IF($M39&lt;=$I39,1,0)+IF($M39&lt;=$J39,1,0)+IF($M39&lt;=$K39,1,0)+IF($M39&lt;=$L39,1,0)),IF($R39&lt;&gt;"",$R39,""))))</f>
        <v/>
      </c>
      <c r="U39" s="15" t="str">
        <f aca="false">IF(OR($S39="",$S39="Gap",$Q39=""),"",IF($Q39&lt;Config!$C$2-Config!$C$3,"STALE",""))</f>
        <v>STALE</v>
      </c>
      <c r="V39" s="15" t="n">
        <f aca="false">IF(OR(ISNUMBER(SEARCH("ALL",$E39)),ISNUMBER(SEARCH("ADV",$E39))),1,0)</f>
        <v>1</v>
      </c>
      <c r="W39" s="15" t="n">
        <f aca="false">IF(OR(ISNUMBER(SEARCH("ALL",$E39)),ISNUMBER(SEARCH("SMF",$E39))),1,0)</f>
        <v>1</v>
      </c>
      <c r="X39" s="15" t="n">
        <f aca="false">IF(OR(ISNUMBER(SEARCH("ALL",$E39)),ISNUMBER(SEARCH("MKT",$E39))),1,0)</f>
        <v>1</v>
      </c>
      <c r="Y39" s="15" t="n">
        <f aca="false">IF(OR(ISNUMBER(SEARCH("ALL",$E39)),ISNUMBER(SEARCH("SCM",$E39))),1,0)</f>
        <v>1</v>
      </c>
      <c r="Z39" s="15" t="n">
        <f aca="false">IF(OR(ISNUMBER(SEARCH("ALL",$E39)),ISNUMBER(SEARCH("FIN",$E39))),1,0)</f>
        <v>1</v>
      </c>
      <c r="AA39" s="15" t="n">
        <f aca="false">IF(OR(ISNUMBER(SEARCH("ALL",$E39)),ISNUMBER(SEARCH("AGI",$E39))),1,0)</f>
        <v>1</v>
      </c>
      <c r="AB39" s="17" t="s">
        <v>352</v>
      </c>
      <c r="AC39" s="11" t="s">
        <v>187</v>
      </c>
    </row>
    <row r="40" customFormat="false" ht="68.65" hidden="false" customHeight="false" outlineLevel="0" collapsed="false">
      <c r="A40" s="15" t="s">
        <v>353</v>
      </c>
      <c r="B40" s="10" t="s">
        <v>354</v>
      </c>
      <c r="C40" s="15" t="s">
        <v>339</v>
      </c>
      <c r="D40" s="15" t="s">
        <v>235</v>
      </c>
      <c r="E40" s="15" t="s">
        <v>355</v>
      </c>
      <c r="F40" s="15" t="s">
        <v>356</v>
      </c>
      <c r="G40" s="15" t="s">
        <v>154</v>
      </c>
      <c r="H40" s="15"/>
      <c r="M40" s="16" t="s">
        <v>357</v>
      </c>
      <c r="N40" s="16" t="s">
        <v>358</v>
      </c>
      <c r="O40" s="16" t="s">
        <v>359</v>
      </c>
      <c r="P40" s="11" t="s">
        <v>96</v>
      </c>
      <c r="Q40" s="11" t="n">
        <v>2026</v>
      </c>
      <c r="R40" s="11" t="n">
        <v>3</v>
      </c>
      <c r="S40" s="15" t="str">
        <f aca="false">IF($M40="","",IF(ISNUMBER($M40),"Measured",IF(ISNUMBER(SEARCH("DATA GAP",UPPER($M40))),"Gap",IF(AND($N40&lt;&gt;"",$P40&lt;&gt;"T5"),"Documented","Judged"))))</f>
        <v>Documented</v>
      </c>
      <c r="T40" s="15" t="n">
        <f aca="false">IF($AC40&lt;&gt;"","",IF(OR($S40="",$S40="Gap"),"",IF($S40="Measured",1+IF($H40="H",IF($M40&gt;=$I40,1,0)+IF($M40&gt;=$J40,1,0)+IF($M40&gt;=$K40,1,0)+IF($M40&gt;=$L40,1,0),IF($M40&lt;=$I40,1,0)+IF($M40&lt;=$J40,1,0)+IF($M40&lt;=$K40,1,0)+IF($M40&lt;=$L40,1,0)),IF($R40&lt;&gt;"",$R40,""))))</f>
        <v>3</v>
      </c>
      <c r="U40" s="15" t="str">
        <f aca="false">IF(OR($S40="",$S40="Gap",$Q40=""),"",IF($Q40&lt;Config!$C$2-Config!$C$3,"STALE",""))</f>
        <v/>
      </c>
      <c r="V40" s="15" t="n">
        <f aca="false">IF(OR(ISNUMBER(SEARCH("ALL",$E40)),ISNUMBER(SEARCH("ADV",$E40))),1,0)</f>
        <v>1</v>
      </c>
      <c r="W40" s="15" t="n">
        <f aca="false">IF(OR(ISNUMBER(SEARCH("ALL",$E40)),ISNUMBER(SEARCH("SMF",$E40))),1,0)</f>
        <v>0</v>
      </c>
      <c r="X40" s="15" t="n">
        <f aca="false">IF(OR(ISNUMBER(SEARCH("ALL",$E40)),ISNUMBER(SEARCH("MKT",$E40))),1,0)</f>
        <v>0</v>
      </c>
      <c r="Y40" s="15" t="n">
        <f aca="false">IF(OR(ISNUMBER(SEARCH("ALL",$E40)),ISNUMBER(SEARCH("SCM",$E40))),1,0)</f>
        <v>0</v>
      </c>
      <c r="Z40" s="15" t="n">
        <f aca="false">IF(OR(ISNUMBER(SEARCH("ALL",$E40)),ISNUMBER(SEARCH("FIN",$E40))),1,0)</f>
        <v>0</v>
      </c>
      <c r="AA40" s="15" t="n">
        <f aca="false">IF(OR(ISNUMBER(SEARCH("ALL",$E40)),ISNUMBER(SEARCH("AGI",$E40))),1,0)</f>
        <v>0</v>
      </c>
    </row>
    <row r="41" customFormat="false" ht="57.45" hidden="false" customHeight="false" outlineLevel="0" collapsed="false">
      <c r="A41" s="15" t="s">
        <v>360</v>
      </c>
      <c r="B41" s="10" t="s">
        <v>361</v>
      </c>
      <c r="C41" s="15" t="s">
        <v>339</v>
      </c>
      <c r="D41" s="15" t="s">
        <v>235</v>
      </c>
      <c r="E41" s="15" t="s">
        <v>202</v>
      </c>
      <c r="F41" s="15" t="s">
        <v>332</v>
      </c>
      <c r="G41" s="15" t="s">
        <v>154</v>
      </c>
      <c r="H41" s="15"/>
      <c r="M41" s="16" t="s">
        <v>362</v>
      </c>
      <c r="N41" s="16" t="s">
        <v>363</v>
      </c>
      <c r="O41" s="16" t="s">
        <v>364</v>
      </c>
      <c r="P41" s="11" t="s">
        <v>96</v>
      </c>
      <c r="Q41" s="11" t="n">
        <v>2026</v>
      </c>
      <c r="R41" s="11" t="n">
        <v>1</v>
      </c>
      <c r="S41" s="15" t="str">
        <f aca="false">IF($M41="","",IF(ISNUMBER($M41),"Measured",IF(ISNUMBER(SEARCH("DATA GAP",UPPER($M41))),"Gap",IF(AND($N41&lt;&gt;"",$P41&lt;&gt;"T5"),"Documented","Judged"))))</f>
        <v>Documented</v>
      </c>
      <c r="T41" s="15" t="n">
        <f aca="false">IF($AC41&lt;&gt;"","",IF(OR($S41="",$S41="Gap"),"",IF($S41="Measured",1+IF($H41="H",IF($M41&gt;=$I41,1,0)+IF($M41&gt;=$J41,1,0)+IF($M41&gt;=$K41,1,0)+IF($M41&gt;=$L41,1,0),IF($M41&lt;=$I41,1,0)+IF($M41&lt;=$J41,1,0)+IF($M41&lt;=$K41,1,0)+IF($M41&lt;=$L41,1,0)),IF($R41&lt;&gt;"",$R41,""))))</f>
        <v>1</v>
      </c>
      <c r="U41" s="15" t="str">
        <f aca="false">IF(OR($S41="",$S41="Gap",$Q41=""),"",IF($Q41&lt;Config!$C$2-Config!$C$3,"STALE",""))</f>
        <v/>
      </c>
      <c r="V41" s="15" t="n">
        <f aca="false">IF(OR(ISNUMBER(SEARCH("ALL",$E41)),ISNUMBER(SEARCH("ADV",$E41))),1,0)</f>
        <v>1</v>
      </c>
      <c r="W41" s="15" t="n">
        <f aca="false">IF(OR(ISNUMBER(SEARCH("ALL",$E41)),ISNUMBER(SEARCH("SMF",$E41))),1,0)</f>
        <v>1</v>
      </c>
      <c r="X41" s="15" t="n">
        <f aca="false">IF(OR(ISNUMBER(SEARCH("ALL",$E41)),ISNUMBER(SEARCH("MKT",$E41))),1,0)</f>
        <v>1</v>
      </c>
      <c r="Y41" s="15" t="n">
        <f aca="false">IF(OR(ISNUMBER(SEARCH("ALL",$E41)),ISNUMBER(SEARCH("SCM",$E41))),1,0)</f>
        <v>1</v>
      </c>
      <c r="Z41" s="15" t="n">
        <f aca="false">IF(OR(ISNUMBER(SEARCH("ALL",$E41)),ISNUMBER(SEARCH("FIN",$E41))),1,0)</f>
        <v>1</v>
      </c>
      <c r="AA41" s="15" t="n">
        <f aca="false">IF(OR(ISNUMBER(SEARCH("ALL",$E41)),ISNUMBER(SEARCH("AGI",$E41))),1,0)</f>
        <v>1</v>
      </c>
      <c r="AB41" s="17" t="s">
        <v>365</v>
      </c>
    </row>
    <row r="42" customFormat="false" ht="57.45" hidden="false" customHeight="false" outlineLevel="0" collapsed="false">
      <c r="A42" s="15" t="s">
        <v>366</v>
      </c>
      <c r="B42" s="10" t="s">
        <v>367</v>
      </c>
      <c r="C42" s="15" t="s">
        <v>339</v>
      </c>
      <c r="D42" s="15" t="s">
        <v>235</v>
      </c>
      <c r="E42" s="15" t="s">
        <v>202</v>
      </c>
      <c r="F42" s="15"/>
      <c r="G42" s="15" t="s">
        <v>154</v>
      </c>
      <c r="H42" s="15"/>
      <c r="M42" s="16" t="s">
        <v>368</v>
      </c>
      <c r="N42" s="16" t="s">
        <v>369</v>
      </c>
      <c r="O42" s="16" t="s">
        <v>370</v>
      </c>
      <c r="P42" s="11" t="s">
        <v>96</v>
      </c>
      <c r="Q42" s="11" t="n">
        <v>2026</v>
      </c>
      <c r="R42" s="11" t="n">
        <v>3</v>
      </c>
      <c r="S42" s="15" t="str">
        <f aca="false">IF($M42="","",IF(ISNUMBER($M42),"Measured",IF(ISNUMBER(SEARCH("DATA GAP",UPPER($M42))),"Gap",IF(AND($N42&lt;&gt;"",$P42&lt;&gt;"T5"),"Documented","Judged"))))</f>
        <v>Documented</v>
      </c>
      <c r="T42" s="15" t="n">
        <f aca="false">IF($AC42&lt;&gt;"","",IF(OR($S42="",$S42="Gap"),"",IF($S42="Measured",1+IF($H42="H",IF($M42&gt;=$I42,1,0)+IF($M42&gt;=$J42,1,0)+IF($M42&gt;=$K42,1,0)+IF($M42&gt;=$L42,1,0),IF($M42&lt;=$I42,1,0)+IF($M42&lt;=$J42,1,0)+IF($M42&lt;=$K42,1,0)+IF($M42&lt;=$L42,1,0)),IF($R42&lt;&gt;"",$R42,""))))</f>
        <v>3</v>
      </c>
      <c r="U42" s="15" t="str">
        <f aca="false">IF(OR($S42="",$S42="Gap",$Q42=""),"",IF($Q42&lt;Config!$C$2-Config!$C$3,"STALE",""))</f>
        <v/>
      </c>
      <c r="V42" s="15" t="n">
        <f aca="false">IF(OR(ISNUMBER(SEARCH("ALL",$E42)),ISNUMBER(SEARCH("ADV",$E42))),1,0)</f>
        <v>1</v>
      </c>
      <c r="W42" s="15" t="n">
        <f aca="false">IF(OR(ISNUMBER(SEARCH("ALL",$E42)),ISNUMBER(SEARCH("SMF",$E42))),1,0)</f>
        <v>1</v>
      </c>
      <c r="X42" s="15" t="n">
        <f aca="false">IF(OR(ISNUMBER(SEARCH("ALL",$E42)),ISNUMBER(SEARCH("MKT",$E42))),1,0)</f>
        <v>1</v>
      </c>
      <c r="Y42" s="15" t="n">
        <f aca="false">IF(OR(ISNUMBER(SEARCH("ALL",$E42)),ISNUMBER(SEARCH("SCM",$E42))),1,0)</f>
        <v>1</v>
      </c>
      <c r="Z42" s="15" t="n">
        <f aca="false">IF(OR(ISNUMBER(SEARCH("ALL",$E42)),ISNUMBER(SEARCH("FIN",$E42))),1,0)</f>
        <v>1</v>
      </c>
      <c r="AA42" s="15" t="n">
        <f aca="false">IF(OR(ISNUMBER(SEARCH("ALL",$E42)),ISNUMBER(SEARCH("AGI",$E42))),1,0)</f>
        <v>1</v>
      </c>
      <c r="AB42" s="17" t="s">
        <v>371</v>
      </c>
    </row>
    <row r="43" customFormat="false" ht="102.2" hidden="false" customHeight="false" outlineLevel="0" collapsed="false">
      <c r="A43" s="15" t="s">
        <v>372</v>
      </c>
      <c r="B43" s="10" t="s">
        <v>373</v>
      </c>
      <c r="C43" s="15" t="s">
        <v>339</v>
      </c>
      <c r="D43" s="15" t="s">
        <v>235</v>
      </c>
      <c r="E43" s="15" t="s">
        <v>374</v>
      </c>
      <c r="F43" s="15"/>
      <c r="G43" s="15" t="s">
        <v>143</v>
      </c>
      <c r="H43" s="15" t="s">
        <v>144</v>
      </c>
      <c r="I43" s="15" t="n">
        <v>20</v>
      </c>
      <c r="J43" s="15" t="n">
        <v>35</v>
      </c>
      <c r="K43" s="15" t="n">
        <v>45</v>
      </c>
      <c r="L43" s="15" t="n">
        <v>50</v>
      </c>
      <c r="M43" s="16" t="s">
        <v>375</v>
      </c>
      <c r="N43" s="16" t="s">
        <v>376</v>
      </c>
      <c r="O43" s="16"/>
      <c r="P43" s="11"/>
      <c r="Q43" s="11" t="n">
        <v>2026</v>
      </c>
      <c r="R43" s="11"/>
      <c r="S43" s="15" t="str">
        <f aca="false">IF($M43="","",IF(ISNUMBER($M43),"Measured",IF(ISNUMBER(SEARCH("DATA GAP",UPPER($M43))),"Gap",IF(AND($N43&lt;&gt;"",$P43&lt;&gt;"T5"),"Documented","Judged"))))</f>
        <v>Gap</v>
      </c>
      <c r="T43" s="15" t="str">
        <f aca="false">IF($AC43&lt;&gt;"","",IF(OR($S43="",$S43="Gap"),"",IF($S43="Measured",1+IF($H43="H",IF($M43&gt;=$I43,1,0)+IF($M43&gt;=$J43,1,0)+IF($M43&gt;=$K43,1,0)+IF($M43&gt;=$L43,1,0),IF($M43&lt;=$I43,1,0)+IF($M43&lt;=$J43,1,0)+IF($M43&lt;=$K43,1,0)+IF($M43&lt;=$L43,1,0)),IF($R43&lt;&gt;"",$R43,""))))</f>
        <v/>
      </c>
      <c r="U43" s="15" t="str">
        <f aca="false">IF(OR($S43="",$S43="Gap",$Q43=""),"",IF($Q43&lt;Config!$C$2-Config!$C$3,"STALE",""))</f>
        <v/>
      </c>
      <c r="V43" s="15" t="n">
        <f aca="false">IF(OR(ISNUMBER(SEARCH("ALL",$E43)),ISNUMBER(SEARCH("ADV",$E43))),1,0)</f>
        <v>1</v>
      </c>
      <c r="W43" s="15" t="n">
        <f aca="false">IF(OR(ISNUMBER(SEARCH("ALL",$E43)),ISNUMBER(SEARCH("SMF",$E43))),1,0)</f>
        <v>0</v>
      </c>
      <c r="X43" s="15" t="n">
        <f aca="false">IF(OR(ISNUMBER(SEARCH("ALL",$E43)),ISNUMBER(SEARCH("MKT",$E43))),1,0)</f>
        <v>0</v>
      </c>
      <c r="Y43" s="15" t="n">
        <f aca="false">IF(OR(ISNUMBER(SEARCH("ALL",$E43)),ISNUMBER(SEARCH("SCM",$E43))),1,0)</f>
        <v>0</v>
      </c>
      <c r="Z43" s="15" t="n">
        <f aca="false">IF(OR(ISNUMBER(SEARCH("ALL",$E43)),ISNUMBER(SEARCH("FIN",$E43))),1,0)</f>
        <v>0</v>
      </c>
      <c r="AA43" s="15" t="n">
        <f aca="false">IF(OR(ISNUMBER(SEARCH("ALL",$E43)),ISNUMBER(SEARCH("AGI",$E43))),1,0)</f>
        <v>0</v>
      </c>
      <c r="AB43" s="17" t="s">
        <v>377</v>
      </c>
    </row>
    <row r="44" customFormat="false" ht="46.25" hidden="false" customHeight="false" outlineLevel="0" collapsed="false">
      <c r="A44" s="15" t="s">
        <v>378</v>
      </c>
      <c r="B44" s="10" t="s">
        <v>379</v>
      </c>
      <c r="C44" s="15" t="s">
        <v>380</v>
      </c>
      <c r="D44" s="15" t="s">
        <v>235</v>
      </c>
      <c r="E44" s="15" t="s">
        <v>202</v>
      </c>
      <c r="F44" s="15"/>
      <c r="G44" s="15" t="s">
        <v>143</v>
      </c>
      <c r="H44" s="15" t="s">
        <v>144</v>
      </c>
      <c r="I44" s="15" t="n">
        <v>25</v>
      </c>
      <c r="J44" s="15" t="n">
        <v>35</v>
      </c>
      <c r="K44" s="15" t="n">
        <v>45</v>
      </c>
      <c r="L44" s="15" t="n">
        <v>55</v>
      </c>
      <c r="M44" s="16" t="n">
        <v>21.1</v>
      </c>
      <c r="N44" s="16" t="s">
        <v>381</v>
      </c>
      <c r="O44" s="16" t="s">
        <v>382</v>
      </c>
      <c r="P44" s="11" t="s">
        <v>88</v>
      </c>
      <c r="Q44" s="11" t="n">
        <v>2025</v>
      </c>
      <c r="R44" s="11"/>
      <c r="S44" s="15" t="str">
        <f aca="false">IF($M44="","",IF(ISNUMBER($M44),"Measured",IF(ISNUMBER(SEARCH("DATA GAP",UPPER($M44))),"Gap",IF(AND($N44&lt;&gt;"",$P44&lt;&gt;"T5"),"Documented","Judged"))))</f>
        <v>Measured</v>
      </c>
      <c r="T44" s="15" t="n">
        <f aca="false">IF($AC44&lt;&gt;"","",IF(OR($S44="",$S44="Gap"),"",IF($S44="Measured",1+IF($H44="H",IF($M44&gt;=$I44,1,0)+IF($M44&gt;=$J44,1,0)+IF($M44&gt;=$K44,1,0)+IF($M44&gt;=$L44,1,0),IF($M44&lt;=$I44,1,0)+IF($M44&lt;=$J44,1,0)+IF($M44&lt;=$K44,1,0)+IF($M44&lt;=$L44,1,0)),IF($R44&lt;&gt;"",$R44,""))))</f>
        <v>1</v>
      </c>
      <c r="U44" s="15" t="str">
        <f aca="false">IF(OR($S44="",$S44="Gap",$Q44=""),"",IF($Q44&lt;Config!$C$2-Config!$C$3,"STALE",""))</f>
        <v/>
      </c>
      <c r="V44" s="15" t="n">
        <f aca="false">IF(OR(ISNUMBER(SEARCH("ALL",$E44)),ISNUMBER(SEARCH("ADV",$E44))),1,0)</f>
        <v>1</v>
      </c>
      <c r="W44" s="15" t="n">
        <f aca="false">IF(OR(ISNUMBER(SEARCH("ALL",$E44)),ISNUMBER(SEARCH("SMF",$E44))),1,0)</f>
        <v>1</v>
      </c>
      <c r="X44" s="15" t="n">
        <f aca="false">IF(OR(ISNUMBER(SEARCH("ALL",$E44)),ISNUMBER(SEARCH("MKT",$E44))),1,0)</f>
        <v>1</v>
      </c>
      <c r="Y44" s="15" t="n">
        <f aca="false">IF(OR(ISNUMBER(SEARCH("ALL",$E44)),ISNUMBER(SEARCH("SCM",$E44))),1,0)</f>
        <v>1</v>
      </c>
      <c r="Z44" s="15" t="n">
        <f aca="false">IF(OR(ISNUMBER(SEARCH("ALL",$E44)),ISNUMBER(SEARCH("FIN",$E44))),1,0)</f>
        <v>1</v>
      </c>
      <c r="AA44" s="15" t="n">
        <f aca="false">IF(OR(ISNUMBER(SEARCH("ALL",$E44)),ISNUMBER(SEARCH("AGI",$E44))),1,0)</f>
        <v>1</v>
      </c>
    </row>
    <row r="45" customFormat="false" ht="91" hidden="false" customHeight="false" outlineLevel="0" collapsed="false">
      <c r="A45" s="15" t="s">
        <v>383</v>
      </c>
      <c r="B45" s="10" t="s">
        <v>384</v>
      </c>
      <c r="C45" s="15" t="s">
        <v>380</v>
      </c>
      <c r="D45" s="15" t="s">
        <v>235</v>
      </c>
      <c r="E45" s="15" t="s">
        <v>202</v>
      </c>
      <c r="F45" s="15"/>
      <c r="G45" s="15" t="s">
        <v>143</v>
      </c>
      <c r="H45" s="15" t="s">
        <v>144</v>
      </c>
      <c r="I45" s="15" t="n">
        <v>30</v>
      </c>
      <c r="J45" s="15" t="n">
        <v>45</v>
      </c>
      <c r="K45" s="15" t="n">
        <v>60</v>
      </c>
      <c r="L45" s="15" t="n">
        <v>75</v>
      </c>
      <c r="M45" s="16" t="s">
        <v>385</v>
      </c>
      <c r="N45" s="16" t="s">
        <v>376</v>
      </c>
      <c r="O45" s="16"/>
      <c r="P45" s="11"/>
      <c r="Q45" s="11" t="n">
        <v>2026</v>
      </c>
      <c r="R45" s="11"/>
      <c r="S45" s="15" t="str">
        <f aca="false">IF($M45="","",IF(ISNUMBER($M45),"Measured",IF(ISNUMBER(SEARCH("DATA GAP",UPPER($M45))),"Gap",IF(AND($N45&lt;&gt;"",$P45&lt;&gt;"T5"),"Documented","Judged"))))</f>
        <v>Gap</v>
      </c>
      <c r="T45" s="15" t="str">
        <f aca="false">IF($AC45&lt;&gt;"","",IF(OR($S45="",$S45="Gap"),"",IF($S45="Measured",1+IF($H45="H",IF($M45&gt;=$I45,1,0)+IF($M45&gt;=$J45,1,0)+IF($M45&gt;=$K45,1,0)+IF($M45&gt;=$L45,1,0),IF($M45&lt;=$I45,1,0)+IF($M45&lt;=$J45,1,0)+IF($M45&lt;=$K45,1,0)+IF($M45&lt;=$L45,1,0)),IF($R45&lt;&gt;"",$R45,""))))</f>
        <v/>
      </c>
      <c r="U45" s="15" t="str">
        <f aca="false">IF(OR($S45="",$S45="Gap",$Q45=""),"",IF($Q45&lt;Config!$C$2-Config!$C$3,"STALE",""))</f>
        <v/>
      </c>
      <c r="V45" s="15" t="n">
        <f aca="false">IF(OR(ISNUMBER(SEARCH("ALL",$E45)),ISNUMBER(SEARCH("ADV",$E45))),1,0)</f>
        <v>1</v>
      </c>
      <c r="W45" s="15" t="n">
        <f aca="false">IF(OR(ISNUMBER(SEARCH("ALL",$E45)),ISNUMBER(SEARCH("SMF",$E45))),1,0)</f>
        <v>1</v>
      </c>
      <c r="X45" s="15" t="n">
        <f aca="false">IF(OR(ISNUMBER(SEARCH("ALL",$E45)),ISNUMBER(SEARCH("MKT",$E45))),1,0)</f>
        <v>1</v>
      </c>
      <c r="Y45" s="15" t="n">
        <f aca="false">IF(OR(ISNUMBER(SEARCH("ALL",$E45)),ISNUMBER(SEARCH("SCM",$E45))),1,0)</f>
        <v>1</v>
      </c>
      <c r="Z45" s="15" t="n">
        <f aca="false">IF(OR(ISNUMBER(SEARCH("ALL",$E45)),ISNUMBER(SEARCH("FIN",$E45))),1,0)</f>
        <v>1</v>
      </c>
      <c r="AA45" s="15" t="n">
        <f aca="false">IF(OR(ISNUMBER(SEARCH("ALL",$E45)),ISNUMBER(SEARCH("AGI",$E45))),1,0)</f>
        <v>1</v>
      </c>
    </row>
    <row r="46" customFormat="false" ht="57.45" hidden="false" customHeight="false" outlineLevel="0" collapsed="false">
      <c r="A46" s="15" t="s">
        <v>386</v>
      </c>
      <c r="B46" s="10" t="s">
        <v>387</v>
      </c>
      <c r="C46" s="15" t="s">
        <v>380</v>
      </c>
      <c r="D46" s="15" t="s">
        <v>388</v>
      </c>
      <c r="E46" s="15" t="s">
        <v>202</v>
      </c>
      <c r="F46" s="15"/>
      <c r="G46" s="15" t="s">
        <v>154</v>
      </c>
      <c r="H46" s="15"/>
      <c r="M46" s="16" t="s">
        <v>389</v>
      </c>
      <c r="N46" s="16" t="s">
        <v>390</v>
      </c>
      <c r="O46" s="16" t="s">
        <v>391</v>
      </c>
      <c r="P46" s="11" t="s">
        <v>100</v>
      </c>
      <c r="Q46" s="11" t="n">
        <v>2024</v>
      </c>
      <c r="R46" s="11" t="n">
        <v>3</v>
      </c>
      <c r="S46" s="15" t="str">
        <f aca="false">IF($M46="","",IF(ISNUMBER($M46),"Measured",IF(ISNUMBER(SEARCH("DATA GAP",UPPER($M46))),"Gap",IF(AND($N46&lt;&gt;"",$P46&lt;&gt;"T5"),"Documented","Judged"))))</f>
        <v>Documented</v>
      </c>
      <c r="T46" s="15" t="n">
        <f aca="false">IF($AC46&lt;&gt;"","",IF(OR($S46="",$S46="Gap"),"",IF($S46="Measured",1+IF($H46="H",IF($M46&gt;=$I46,1,0)+IF($M46&gt;=$J46,1,0)+IF($M46&gt;=$K46,1,0)+IF($M46&gt;=$L46,1,0),IF($M46&lt;=$I46,1,0)+IF($M46&lt;=$J46,1,0)+IF($M46&lt;=$K46,1,0)+IF($M46&lt;=$L46,1,0)),IF($R46&lt;&gt;"",$R46,""))))</f>
        <v>3</v>
      </c>
      <c r="U46" s="15" t="str">
        <f aca="false">IF(OR($S46="",$S46="Gap",$Q46=""),"",IF($Q46&lt;Config!$C$2-Config!$C$3,"STALE",""))</f>
        <v/>
      </c>
      <c r="V46" s="15" t="n">
        <f aca="false">IF(OR(ISNUMBER(SEARCH("ALL",$E46)),ISNUMBER(SEARCH("ADV",$E46))),1,0)</f>
        <v>1</v>
      </c>
      <c r="W46" s="15" t="n">
        <f aca="false">IF(OR(ISNUMBER(SEARCH("ALL",$E46)),ISNUMBER(SEARCH("SMF",$E46))),1,0)</f>
        <v>1</v>
      </c>
      <c r="X46" s="15" t="n">
        <f aca="false">IF(OR(ISNUMBER(SEARCH("ALL",$E46)),ISNUMBER(SEARCH("MKT",$E46))),1,0)</f>
        <v>1</v>
      </c>
      <c r="Y46" s="15" t="n">
        <f aca="false">IF(OR(ISNUMBER(SEARCH("ALL",$E46)),ISNUMBER(SEARCH("SCM",$E46))),1,0)</f>
        <v>1</v>
      </c>
      <c r="Z46" s="15" t="n">
        <f aca="false">IF(OR(ISNUMBER(SEARCH("ALL",$E46)),ISNUMBER(SEARCH("FIN",$E46))),1,0)</f>
        <v>1</v>
      </c>
      <c r="AA46" s="15" t="n">
        <f aca="false">IF(OR(ISNUMBER(SEARCH("ALL",$E46)),ISNUMBER(SEARCH("AGI",$E46))),1,0)</f>
        <v>1</v>
      </c>
      <c r="AB46" s="17" t="s">
        <v>392</v>
      </c>
    </row>
    <row r="47" customFormat="false" ht="57.45" hidden="false" customHeight="false" outlineLevel="0" collapsed="false">
      <c r="A47" s="15" t="s">
        <v>393</v>
      </c>
      <c r="B47" s="10" t="s">
        <v>394</v>
      </c>
      <c r="C47" s="15" t="s">
        <v>380</v>
      </c>
      <c r="D47" s="15" t="s">
        <v>388</v>
      </c>
      <c r="E47" s="15" t="s">
        <v>395</v>
      </c>
      <c r="F47" s="15"/>
      <c r="G47" s="15" t="s">
        <v>154</v>
      </c>
      <c r="H47" s="15"/>
      <c r="M47" s="16" t="s">
        <v>396</v>
      </c>
      <c r="N47" s="16" t="s">
        <v>397</v>
      </c>
      <c r="O47" s="16" t="s">
        <v>398</v>
      </c>
      <c r="P47" s="11" t="s">
        <v>96</v>
      </c>
      <c r="Q47" s="11" t="n">
        <v>2026</v>
      </c>
      <c r="R47" s="11" t="n">
        <v>3</v>
      </c>
      <c r="S47" s="15" t="str">
        <f aca="false">IF($M47="","",IF(ISNUMBER($M47),"Measured",IF(ISNUMBER(SEARCH("DATA GAP",UPPER($M47))),"Gap",IF(AND($N47&lt;&gt;"",$P47&lt;&gt;"T5"),"Documented","Judged"))))</f>
        <v>Documented</v>
      </c>
      <c r="T47" s="15" t="n">
        <f aca="false">IF($AC47&lt;&gt;"","",IF(OR($S47="",$S47="Gap"),"",IF($S47="Measured",1+IF($H47="H",IF($M47&gt;=$I47,1,0)+IF($M47&gt;=$J47,1,0)+IF($M47&gt;=$K47,1,0)+IF($M47&gt;=$L47,1,0),IF($M47&lt;=$I47,1,0)+IF($M47&lt;=$J47,1,0)+IF($M47&lt;=$K47,1,0)+IF($M47&lt;=$L47,1,0)),IF($R47&lt;&gt;"",$R47,""))))</f>
        <v>3</v>
      </c>
      <c r="U47" s="15" t="str">
        <f aca="false">IF(OR($S47="",$S47="Gap",$Q47=""),"",IF($Q47&lt;Config!$C$2-Config!$C$3,"STALE",""))</f>
        <v/>
      </c>
      <c r="V47" s="15" t="n">
        <f aca="false">IF(OR(ISNUMBER(SEARCH("ALL",$E47)),ISNUMBER(SEARCH("ADV",$E47))),1,0)</f>
        <v>1</v>
      </c>
      <c r="W47" s="15" t="n">
        <f aca="false">IF(OR(ISNUMBER(SEARCH("ALL",$E47)),ISNUMBER(SEARCH("SMF",$E47))),1,0)</f>
        <v>0</v>
      </c>
      <c r="X47" s="15" t="n">
        <f aca="false">IF(OR(ISNUMBER(SEARCH("ALL",$E47)),ISNUMBER(SEARCH("MKT",$E47))),1,0)</f>
        <v>0</v>
      </c>
      <c r="Y47" s="15" t="n">
        <f aca="false">IF(OR(ISNUMBER(SEARCH("ALL",$E47)),ISNUMBER(SEARCH("SCM",$E47))),1,0)</f>
        <v>1</v>
      </c>
      <c r="Z47" s="15" t="n">
        <f aca="false">IF(OR(ISNUMBER(SEARCH("ALL",$E47)),ISNUMBER(SEARCH("FIN",$E47))),1,0)</f>
        <v>0</v>
      </c>
      <c r="AA47" s="15" t="n">
        <f aca="false">IF(OR(ISNUMBER(SEARCH("ALL",$E47)),ISNUMBER(SEARCH("AGI",$E47))),1,0)</f>
        <v>1</v>
      </c>
      <c r="AB47" s="17" t="s">
        <v>399</v>
      </c>
    </row>
    <row r="48" customFormat="false" ht="57.45" hidden="false" customHeight="false" outlineLevel="0" collapsed="false">
      <c r="A48" s="15" t="s">
        <v>400</v>
      </c>
      <c r="B48" s="10" t="s">
        <v>401</v>
      </c>
      <c r="C48" s="15" t="s">
        <v>380</v>
      </c>
      <c r="D48" s="15" t="s">
        <v>388</v>
      </c>
      <c r="E48" s="15" t="s">
        <v>202</v>
      </c>
      <c r="F48" s="15"/>
      <c r="G48" s="15" t="s">
        <v>154</v>
      </c>
      <c r="H48" s="15"/>
      <c r="M48" s="16" t="s">
        <v>402</v>
      </c>
      <c r="N48" s="16" t="s">
        <v>403</v>
      </c>
      <c r="O48" s="16" t="s">
        <v>404</v>
      </c>
      <c r="P48" s="11" t="s">
        <v>100</v>
      </c>
      <c r="Q48" s="11" t="n">
        <v>2024</v>
      </c>
      <c r="R48" s="11" t="n">
        <v>1</v>
      </c>
      <c r="S48" s="15" t="str">
        <f aca="false">IF($M48="","",IF(ISNUMBER($M48),"Measured",IF(ISNUMBER(SEARCH("DATA GAP",UPPER($M48))),"Gap",IF(AND($N48&lt;&gt;"",$P48&lt;&gt;"T5"),"Documented","Judged"))))</f>
        <v>Documented</v>
      </c>
      <c r="T48" s="15" t="n">
        <f aca="false">IF($AC48&lt;&gt;"","",IF(OR($S48="",$S48="Gap"),"",IF($S48="Measured",1+IF($H48="H",IF($M48&gt;=$I48,1,0)+IF($M48&gt;=$J48,1,0)+IF($M48&gt;=$K48,1,0)+IF($M48&gt;=$L48,1,0),IF($M48&lt;=$I48,1,0)+IF($M48&lt;=$J48,1,0)+IF($M48&lt;=$K48,1,0)+IF($M48&lt;=$L48,1,0)),IF($R48&lt;&gt;"",$R48,""))))</f>
        <v>1</v>
      </c>
      <c r="U48" s="15" t="str">
        <f aca="false">IF(OR($S48="",$S48="Gap",$Q48=""),"",IF($Q48&lt;Config!$C$2-Config!$C$3,"STALE",""))</f>
        <v/>
      </c>
      <c r="V48" s="15" t="n">
        <f aca="false">IF(OR(ISNUMBER(SEARCH("ALL",$E48)),ISNUMBER(SEARCH("ADV",$E48))),1,0)</f>
        <v>1</v>
      </c>
      <c r="W48" s="15" t="n">
        <f aca="false">IF(OR(ISNUMBER(SEARCH("ALL",$E48)),ISNUMBER(SEARCH("SMF",$E48))),1,0)</f>
        <v>1</v>
      </c>
      <c r="X48" s="15" t="n">
        <f aca="false">IF(OR(ISNUMBER(SEARCH("ALL",$E48)),ISNUMBER(SEARCH("MKT",$E48))),1,0)</f>
        <v>1</v>
      </c>
      <c r="Y48" s="15" t="n">
        <f aca="false">IF(OR(ISNUMBER(SEARCH("ALL",$E48)),ISNUMBER(SEARCH("SCM",$E48))),1,0)</f>
        <v>1</v>
      </c>
      <c r="Z48" s="15" t="n">
        <f aca="false">IF(OR(ISNUMBER(SEARCH("ALL",$E48)),ISNUMBER(SEARCH("FIN",$E48))),1,0)</f>
        <v>1</v>
      </c>
      <c r="AA48" s="15" t="n">
        <f aca="false">IF(OR(ISNUMBER(SEARCH("ALL",$E48)),ISNUMBER(SEARCH("AGI",$E48))),1,0)</f>
        <v>1</v>
      </c>
      <c r="AB48" s="17" t="s">
        <v>405</v>
      </c>
    </row>
    <row r="49" customFormat="false" ht="79.85" hidden="false" customHeight="false" outlineLevel="0" collapsed="false">
      <c r="A49" s="15" t="s">
        <v>406</v>
      </c>
      <c r="B49" s="10" t="s">
        <v>407</v>
      </c>
      <c r="C49" s="15" t="s">
        <v>380</v>
      </c>
      <c r="D49" s="15" t="s">
        <v>388</v>
      </c>
      <c r="E49" s="15" t="s">
        <v>408</v>
      </c>
      <c r="F49" s="15"/>
      <c r="G49" s="15" t="s">
        <v>143</v>
      </c>
      <c r="H49" s="15" t="s">
        <v>144</v>
      </c>
      <c r="I49" s="15" t="n">
        <v>10</v>
      </c>
      <c r="J49" s="15" t="n">
        <v>25</v>
      </c>
      <c r="K49" s="15" t="n">
        <v>50</v>
      </c>
      <c r="L49" s="15" t="n">
        <v>75</v>
      </c>
      <c r="M49" s="16" t="s">
        <v>409</v>
      </c>
      <c r="N49" s="16" t="s">
        <v>410</v>
      </c>
      <c r="O49" s="16" t="s">
        <v>411</v>
      </c>
      <c r="P49" s="11" t="s">
        <v>100</v>
      </c>
      <c r="Q49" s="11" t="n">
        <v>2024</v>
      </c>
      <c r="R49" s="11"/>
      <c r="S49" s="15" t="str">
        <f aca="false">IF($M49="","",IF(ISNUMBER($M49),"Measured",IF(ISNUMBER(SEARCH("DATA GAP",UPPER($M49))),"Gap",IF(AND($N49&lt;&gt;"",$P49&lt;&gt;"T5"),"Documented","Judged"))))</f>
        <v>Documented</v>
      </c>
      <c r="T49" s="15" t="str">
        <f aca="false">IF($AC49&lt;&gt;"","",IF(OR($S49="",$S49="Gap"),"",IF($S49="Measured",1+IF($H49="H",IF($M49&gt;=$I49,1,0)+IF($M49&gt;=$J49,1,0)+IF($M49&gt;=$K49,1,0)+IF($M49&gt;=$L49,1,0),IF($M49&lt;=$I49,1,0)+IF($M49&lt;=$J49,1,0)+IF($M49&lt;=$K49,1,0)+IF($M49&lt;=$L49,1,0)),IF($R49&lt;&gt;"",$R49,""))))</f>
        <v/>
      </c>
      <c r="U49" s="15" t="str">
        <f aca="false">IF(OR($S49="",$S49="Gap",$Q49=""),"",IF($Q49&lt;Config!$C$2-Config!$C$3,"STALE",""))</f>
        <v/>
      </c>
      <c r="V49" s="15" t="n">
        <f aca="false">IF(OR(ISNUMBER(SEARCH("ALL",$E49)),ISNUMBER(SEARCH("ADV",$E49))),1,0)</f>
        <v>0</v>
      </c>
      <c r="W49" s="15" t="n">
        <f aca="false">IF(OR(ISNUMBER(SEARCH("ALL",$E49)),ISNUMBER(SEARCH("SMF",$E49))),1,0)</f>
        <v>1</v>
      </c>
      <c r="X49" s="15" t="n">
        <f aca="false">IF(OR(ISNUMBER(SEARCH("ALL",$E49)),ISNUMBER(SEARCH("MKT",$E49))),1,0)</f>
        <v>1</v>
      </c>
      <c r="Y49" s="15" t="n">
        <f aca="false">IF(OR(ISNUMBER(SEARCH("ALL",$E49)),ISNUMBER(SEARCH("SCM",$E49))),1,0)</f>
        <v>1</v>
      </c>
      <c r="Z49" s="15" t="n">
        <f aca="false">IF(OR(ISNUMBER(SEARCH("ALL",$E49)),ISNUMBER(SEARCH("FIN",$E49))),1,0)</f>
        <v>0</v>
      </c>
      <c r="AA49" s="15" t="n">
        <f aca="false">IF(OR(ISNUMBER(SEARCH("ALL",$E49)),ISNUMBER(SEARCH("AGI",$E49))),1,0)</f>
        <v>0</v>
      </c>
      <c r="AB49" s="17" t="s">
        <v>412</v>
      </c>
      <c r="AC49" s="11" t="s">
        <v>187</v>
      </c>
    </row>
    <row r="50" customFormat="false" ht="57.45" hidden="false" customHeight="false" outlineLevel="0" collapsed="false">
      <c r="A50" s="15" t="s">
        <v>413</v>
      </c>
      <c r="B50" s="10" t="s">
        <v>414</v>
      </c>
      <c r="C50" s="15" t="s">
        <v>380</v>
      </c>
      <c r="D50" s="15" t="s">
        <v>388</v>
      </c>
      <c r="E50" s="15" t="s">
        <v>415</v>
      </c>
      <c r="F50" s="15" t="s">
        <v>326</v>
      </c>
      <c r="G50" s="15" t="s">
        <v>154</v>
      </c>
      <c r="H50" s="15"/>
      <c r="M50" s="16" t="s">
        <v>416</v>
      </c>
      <c r="N50" s="16" t="s">
        <v>417</v>
      </c>
      <c r="O50" s="16" t="s">
        <v>418</v>
      </c>
      <c r="P50" s="11" t="s">
        <v>100</v>
      </c>
      <c r="Q50" s="11" t="n">
        <v>2024</v>
      </c>
      <c r="R50" s="11" t="n">
        <v>3</v>
      </c>
      <c r="S50" s="15" t="str">
        <f aca="false">IF($M50="","",IF(ISNUMBER($M50),"Measured",IF(ISNUMBER(SEARCH("DATA GAP",UPPER($M50))),"Gap",IF(AND($N50&lt;&gt;"",$P50&lt;&gt;"T5"),"Documented","Judged"))))</f>
        <v>Documented</v>
      </c>
      <c r="T50" s="15" t="n">
        <f aca="false">IF($AC50&lt;&gt;"","",IF(OR($S50="",$S50="Gap"),"",IF($S50="Measured",1+IF($H50="H",IF($M50&gt;=$I50,1,0)+IF($M50&gt;=$J50,1,0)+IF($M50&gt;=$K50,1,0)+IF($M50&gt;=$L50,1,0),IF($M50&lt;=$I50,1,0)+IF($M50&lt;=$J50,1,0)+IF($M50&lt;=$K50,1,0)+IF($M50&lt;=$L50,1,0)),IF($R50&lt;&gt;"",$R50,""))))</f>
        <v>3</v>
      </c>
      <c r="U50" s="15" t="str">
        <f aca="false">IF(OR($S50="",$S50="Gap",$Q50=""),"",IF($Q50&lt;Config!$C$2-Config!$C$3,"STALE",""))</f>
        <v/>
      </c>
      <c r="V50" s="15" t="n">
        <f aca="false">IF(OR(ISNUMBER(SEARCH("ALL",$E50)),ISNUMBER(SEARCH("ADV",$E50))),1,0)</f>
        <v>0</v>
      </c>
      <c r="W50" s="15" t="n">
        <f aca="false">IF(OR(ISNUMBER(SEARCH("ALL",$E50)),ISNUMBER(SEARCH("SMF",$E50))),1,0)</f>
        <v>0</v>
      </c>
      <c r="X50" s="15" t="n">
        <f aca="false">IF(OR(ISNUMBER(SEARCH("ALL",$E50)),ISNUMBER(SEARCH("MKT",$E50))),1,0)</f>
        <v>0</v>
      </c>
      <c r="Y50" s="15" t="n">
        <f aca="false">IF(OR(ISNUMBER(SEARCH("ALL",$E50)),ISNUMBER(SEARCH("SCM",$E50))),1,0)</f>
        <v>0</v>
      </c>
      <c r="Z50" s="15" t="n">
        <f aca="false">IF(OR(ISNUMBER(SEARCH("ALL",$E50)),ISNUMBER(SEARCH("FIN",$E50))),1,0)</f>
        <v>1</v>
      </c>
      <c r="AA50" s="15" t="n">
        <f aca="false">IF(OR(ISNUMBER(SEARCH("ALL",$E50)),ISNUMBER(SEARCH("AGI",$E50))),1,0)</f>
        <v>0</v>
      </c>
      <c r="AB50" s="17" t="s">
        <v>419</v>
      </c>
    </row>
    <row r="51" customFormat="false" ht="57.45" hidden="false" customHeight="false" outlineLevel="0" collapsed="false">
      <c r="A51" s="15" t="s">
        <v>420</v>
      </c>
      <c r="B51" s="10" t="s">
        <v>421</v>
      </c>
      <c r="C51" s="15" t="s">
        <v>380</v>
      </c>
      <c r="D51" s="15" t="s">
        <v>388</v>
      </c>
      <c r="E51" s="15" t="s">
        <v>355</v>
      </c>
      <c r="F51" s="15"/>
      <c r="G51" s="15" t="s">
        <v>154</v>
      </c>
      <c r="H51" s="15"/>
      <c r="M51" s="16" t="s">
        <v>422</v>
      </c>
      <c r="N51" s="16" t="s">
        <v>423</v>
      </c>
      <c r="O51" s="16" t="s">
        <v>418</v>
      </c>
      <c r="P51" s="11" t="s">
        <v>100</v>
      </c>
      <c r="Q51" s="11" t="n">
        <v>2024</v>
      </c>
      <c r="R51" s="11" t="n">
        <v>4</v>
      </c>
      <c r="S51" s="15" t="str">
        <f aca="false">IF($M51="","",IF(ISNUMBER($M51),"Measured",IF(ISNUMBER(SEARCH("DATA GAP",UPPER($M51))),"Gap",IF(AND($N51&lt;&gt;"",$P51&lt;&gt;"T5"),"Documented","Judged"))))</f>
        <v>Documented</v>
      </c>
      <c r="T51" s="15" t="n">
        <f aca="false">IF($AC51&lt;&gt;"","",IF(OR($S51="",$S51="Gap"),"",IF($S51="Measured",1+IF($H51="H",IF($M51&gt;=$I51,1,0)+IF($M51&gt;=$J51,1,0)+IF($M51&gt;=$K51,1,0)+IF($M51&gt;=$L51,1,0),IF($M51&lt;=$I51,1,0)+IF($M51&lt;=$J51,1,0)+IF($M51&lt;=$K51,1,0)+IF($M51&lt;=$L51,1,0)),IF($R51&lt;&gt;"",$R51,""))))</f>
        <v>4</v>
      </c>
      <c r="U51" s="15" t="str">
        <f aca="false">IF(OR($S51="",$S51="Gap",$Q51=""),"",IF($Q51&lt;Config!$C$2-Config!$C$3,"STALE",""))</f>
        <v/>
      </c>
      <c r="V51" s="15" t="n">
        <f aca="false">IF(OR(ISNUMBER(SEARCH("ALL",$E51)),ISNUMBER(SEARCH("ADV",$E51))),1,0)</f>
        <v>1</v>
      </c>
      <c r="W51" s="15" t="n">
        <f aca="false">IF(OR(ISNUMBER(SEARCH("ALL",$E51)),ISNUMBER(SEARCH("SMF",$E51))),1,0)</f>
        <v>0</v>
      </c>
      <c r="X51" s="15" t="n">
        <f aca="false">IF(OR(ISNUMBER(SEARCH("ALL",$E51)),ISNUMBER(SEARCH("MKT",$E51))),1,0)</f>
        <v>0</v>
      </c>
      <c r="Y51" s="15" t="n">
        <f aca="false">IF(OR(ISNUMBER(SEARCH("ALL",$E51)),ISNUMBER(SEARCH("SCM",$E51))),1,0)</f>
        <v>0</v>
      </c>
      <c r="Z51" s="15" t="n">
        <f aca="false">IF(OR(ISNUMBER(SEARCH("ALL",$E51)),ISNUMBER(SEARCH("FIN",$E51))),1,0)</f>
        <v>0</v>
      </c>
      <c r="AA51" s="15" t="n">
        <f aca="false">IF(OR(ISNUMBER(SEARCH("ALL",$E51)),ISNUMBER(SEARCH("AGI",$E51))),1,0)</f>
        <v>0</v>
      </c>
      <c r="AB51" s="17" t="s">
        <v>424</v>
      </c>
    </row>
    <row r="52" customFormat="false" ht="57.45" hidden="false" customHeight="false" outlineLevel="0" collapsed="false">
      <c r="A52" s="15" t="s">
        <v>425</v>
      </c>
      <c r="B52" s="10" t="s">
        <v>426</v>
      </c>
      <c r="C52" s="15" t="s">
        <v>380</v>
      </c>
      <c r="D52" s="15" t="s">
        <v>388</v>
      </c>
      <c r="E52" s="15" t="s">
        <v>427</v>
      </c>
      <c r="F52" s="15"/>
      <c r="G52" s="15" t="s">
        <v>154</v>
      </c>
      <c r="H52" s="15"/>
      <c r="M52" s="16" t="s">
        <v>428</v>
      </c>
      <c r="N52" s="16" t="s">
        <v>429</v>
      </c>
      <c r="O52" s="16" t="s">
        <v>430</v>
      </c>
      <c r="P52" s="11" t="s">
        <v>100</v>
      </c>
      <c r="Q52" s="11" t="n">
        <v>2022</v>
      </c>
      <c r="R52" s="11" t="n">
        <v>3</v>
      </c>
      <c r="S52" s="15" t="str">
        <f aca="false">IF($M52="","",IF(ISNUMBER($M52),"Measured",IF(ISNUMBER(SEARCH("DATA GAP",UPPER($M52))),"Gap",IF(AND($N52&lt;&gt;"",$P52&lt;&gt;"T5"),"Documented","Judged"))))</f>
        <v>Documented</v>
      </c>
      <c r="T52" s="15" t="n">
        <f aca="false">IF($AC52&lt;&gt;"","",IF(OR($S52="",$S52="Gap"),"",IF($S52="Measured",1+IF($H52="H",IF($M52&gt;=$I52,1,0)+IF($M52&gt;=$J52,1,0)+IF($M52&gt;=$K52,1,0)+IF($M52&gt;=$L52,1,0),IF($M52&lt;=$I52,1,0)+IF($M52&lt;=$J52,1,0)+IF($M52&lt;=$K52,1,0)+IF($M52&lt;=$L52,1,0)),IF($R52&lt;&gt;"",$R52,""))))</f>
        <v>3</v>
      </c>
      <c r="U52" s="15" t="str">
        <f aca="false">IF(OR($S52="",$S52="Gap",$Q52=""),"",IF($Q52&lt;Config!$C$2-Config!$C$3,"STALE",""))</f>
        <v>STALE</v>
      </c>
      <c r="V52" s="15" t="n">
        <f aca="false">IF(OR(ISNUMBER(SEARCH("ALL",$E52)),ISNUMBER(SEARCH("ADV",$E52))),1,0)</f>
        <v>0</v>
      </c>
      <c r="W52" s="15" t="n">
        <f aca="false">IF(OR(ISNUMBER(SEARCH("ALL",$E52)),ISNUMBER(SEARCH("SMF",$E52))),1,0)</f>
        <v>0</v>
      </c>
      <c r="X52" s="15" t="n">
        <f aca="false">IF(OR(ISNUMBER(SEARCH("ALL",$E52)),ISNUMBER(SEARCH("MKT",$E52))),1,0)</f>
        <v>1</v>
      </c>
      <c r="Y52" s="15" t="n">
        <f aca="false">IF(OR(ISNUMBER(SEARCH("ALL",$E52)),ISNUMBER(SEARCH("SCM",$E52))),1,0)</f>
        <v>0</v>
      </c>
      <c r="Z52" s="15" t="n">
        <f aca="false">IF(OR(ISNUMBER(SEARCH("ALL",$E52)),ISNUMBER(SEARCH("FIN",$E52))),1,0)</f>
        <v>0</v>
      </c>
      <c r="AA52" s="15" t="n">
        <f aca="false">IF(OR(ISNUMBER(SEARCH("ALL",$E52)),ISNUMBER(SEARCH("AGI",$E52))),1,0)</f>
        <v>0</v>
      </c>
      <c r="AB52" s="17" t="s">
        <v>431</v>
      </c>
    </row>
    <row r="53" customFormat="false" ht="46.25" hidden="false" customHeight="false" outlineLevel="0" collapsed="false">
      <c r="A53" s="15" t="s">
        <v>432</v>
      </c>
      <c r="B53" s="10" t="s">
        <v>433</v>
      </c>
      <c r="C53" s="15" t="s">
        <v>380</v>
      </c>
      <c r="D53" s="15" t="s">
        <v>388</v>
      </c>
      <c r="E53" s="15" t="s">
        <v>434</v>
      </c>
      <c r="F53" s="15"/>
      <c r="G53" s="15" t="s">
        <v>154</v>
      </c>
      <c r="H53" s="15"/>
      <c r="M53" s="16" t="s">
        <v>435</v>
      </c>
      <c r="N53" s="16" t="s">
        <v>436</v>
      </c>
      <c r="O53" s="16" t="s">
        <v>437</v>
      </c>
      <c r="P53" s="11" t="s">
        <v>104</v>
      </c>
      <c r="Q53" s="11" t="n">
        <v>2026</v>
      </c>
      <c r="R53" s="11" t="n">
        <v>2</v>
      </c>
      <c r="S53" s="15" t="str">
        <f aca="false">IF($M53="","",IF(ISNUMBER($M53),"Measured",IF(ISNUMBER(SEARCH("DATA GAP",UPPER($M53))),"Gap",IF(AND($N53&lt;&gt;"",$P53&lt;&gt;"T5"),"Documented","Judged"))))</f>
        <v>Judged</v>
      </c>
      <c r="T53" s="15" t="n">
        <f aca="false">IF($AC53&lt;&gt;"","",IF(OR($S53="",$S53="Gap"),"",IF($S53="Measured",1+IF($H53="H",IF($M53&gt;=$I53,1,0)+IF($M53&gt;=$J53,1,0)+IF($M53&gt;=$K53,1,0)+IF($M53&gt;=$L53,1,0),IF($M53&lt;=$I53,1,0)+IF($M53&lt;=$J53,1,0)+IF($M53&lt;=$K53,1,0)+IF($M53&lt;=$L53,1,0)),IF($R53&lt;&gt;"",$R53,""))))</f>
        <v>2</v>
      </c>
      <c r="U53" s="15" t="str">
        <f aca="false">IF(OR($S53="",$S53="Gap",$Q53=""),"",IF($Q53&lt;Config!$C$2-Config!$C$3,"STALE",""))</f>
        <v/>
      </c>
      <c r="V53" s="15" t="n">
        <f aca="false">IF(OR(ISNUMBER(SEARCH("ALL",$E53)),ISNUMBER(SEARCH("ADV",$E53))),1,0)</f>
        <v>1</v>
      </c>
      <c r="W53" s="15" t="n">
        <f aca="false">IF(OR(ISNUMBER(SEARCH("ALL",$E53)),ISNUMBER(SEARCH("SMF",$E53))),1,0)</f>
        <v>1</v>
      </c>
      <c r="X53" s="15" t="n">
        <f aca="false">IF(OR(ISNUMBER(SEARCH("ALL",$E53)),ISNUMBER(SEARCH("MKT",$E53))),1,0)</f>
        <v>0</v>
      </c>
      <c r="Y53" s="15" t="n">
        <f aca="false">IF(OR(ISNUMBER(SEARCH("ALL",$E53)),ISNUMBER(SEARCH("SCM",$E53))),1,0)</f>
        <v>1</v>
      </c>
      <c r="Z53" s="15" t="n">
        <f aca="false">IF(OR(ISNUMBER(SEARCH("ALL",$E53)),ISNUMBER(SEARCH("FIN",$E53))),1,0)</f>
        <v>1</v>
      </c>
      <c r="AA53" s="15" t="n">
        <f aca="false">IF(OR(ISNUMBER(SEARCH("ALL",$E53)),ISNUMBER(SEARCH("AGI",$E53))),1,0)</f>
        <v>1</v>
      </c>
      <c r="AB53" s="17" t="s">
        <v>438</v>
      </c>
    </row>
    <row r="54" customFormat="false" ht="57.45" hidden="false" customHeight="false" outlineLevel="0" collapsed="false">
      <c r="A54" s="15" t="s">
        <v>439</v>
      </c>
      <c r="B54" s="10" t="s">
        <v>440</v>
      </c>
      <c r="C54" s="15" t="s">
        <v>380</v>
      </c>
      <c r="D54" s="15" t="s">
        <v>235</v>
      </c>
      <c r="E54" s="15" t="s">
        <v>441</v>
      </c>
      <c r="F54" s="15" t="s">
        <v>442</v>
      </c>
      <c r="G54" s="15" t="s">
        <v>154</v>
      </c>
      <c r="H54" s="15"/>
      <c r="M54" s="16" t="s">
        <v>443</v>
      </c>
      <c r="N54" s="16" t="s">
        <v>444</v>
      </c>
      <c r="O54" s="16" t="s">
        <v>445</v>
      </c>
      <c r="P54" s="11" t="s">
        <v>96</v>
      </c>
      <c r="Q54" s="11" t="n">
        <v>2025</v>
      </c>
      <c r="R54" s="11" t="n">
        <v>3</v>
      </c>
      <c r="S54" s="15" t="str">
        <f aca="false">IF($M54="","",IF(ISNUMBER($M54),"Measured",IF(ISNUMBER(SEARCH("DATA GAP",UPPER($M54))),"Gap",IF(AND($N54&lt;&gt;"",$P54&lt;&gt;"T5"),"Documented","Judged"))))</f>
        <v>Documented</v>
      </c>
      <c r="T54" s="15" t="n">
        <f aca="false">IF($AC54&lt;&gt;"","",IF(OR($S54="",$S54="Gap"),"",IF($S54="Measured",1+IF($H54="H",IF($M54&gt;=$I54,1,0)+IF($M54&gt;=$J54,1,0)+IF($M54&gt;=$K54,1,0)+IF($M54&gt;=$L54,1,0),IF($M54&lt;=$I54,1,0)+IF($M54&lt;=$J54,1,0)+IF($M54&lt;=$K54,1,0)+IF($M54&lt;=$L54,1,0)),IF($R54&lt;&gt;"",$R54,""))))</f>
        <v>3</v>
      </c>
      <c r="U54" s="15" t="str">
        <f aca="false">IF(OR($S54="",$S54="Gap",$Q54=""),"",IF($Q54&lt;Config!$C$2-Config!$C$3,"STALE",""))</f>
        <v/>
      </c>
      <c r="V54" s="15" t="n">
        <f aca="false">IF(OR(ISNUMBER(SEARCH("ALL",$E54)),ISNUMBER(SEARCH("ADV",$E54))),1,0)</f>
        <v>0</v>
      </c>
      <c r="W54" s="15" t="n">
        <f aca="false">IF(OR(ISNUMBER(SEARCH("ALL",$E54)),ISNUMBER(SEARCH("SMF",$E54))),1,0)</f>
        <v>0</v>
      </c>
      <c r="X54" s="15" t="n">
        <f aca="false">IF(OR(ISNUMBER(SEARCH("ALL",$E54)),ISNUMBER(SEARCH("MKT",$E54))),1,0)</f>
        <v>0</v>
      </c>
      <c r="Y54" s="15" t="n">
        <f aca="false">IF(OR(ISNUMBER(SEARCH("ALL",$E54)),ISNUMBER(SEARCH("SCM",$E54))),1,0)</f>
        <v>0</v>
      </c>
      <c r="Z54" s="15" t="n">
        <f aca="false">IF(OR(ISNUMBER(SEARCH("ALL",$E54)),ISNUMBER(SEARCH("FIN",$E54))),1,0)</f>
        <v>0</v>
      </c>
      <c r="AA54" s="15" t="n">
        <f aca="false">IF(OR(ISNUMBER(SEARCH("ALL",$E54)),ISNUMBER(SEARCH("AGI",$E54))),1,0)</f>
        <v>0</v>
      </c>
      <c r="AB54" s="17" t="s">
        <v>446</v>
      </c>
    </row>
    <row r="55" customFormat="false" ht="46.25" hidden="false" customHeight="false" outlineLevel="0" collapsed="false">
      <c r="A55" s="15" t="s">
        <v>447</v>
      </c>
      <c r="B55" s="10" t="s">
        <v>448</v>
      </c>
      <c r="C55" s="15" t="s">
        <v>449</v>
      </c>
      <c r="D55" s="15" t="s">
        <v>450</v>
      </c>
      <c r="E55" s="15" t="s">
        <v>451</v>
      </c>
      <c r="F55" s="15"/>
      <c r="G55" s="15" t="s">
        <v>143</v>
      </c>
      <c r="H55" s="15" t="s">
        <v>144</v>
      </c>
      <c r="I55" s="15" t="n">
        <v>20</v>
      </c>
      <c r="J55" s="15" t="n">
        <v>40</v>
      </c>
      <c r="K55" s="15" t="n">
        <v>60</v>
      </c>
      <c r="L55" s="15" t="n">
        <v>80</v>
      </c>
      <c r="M55" s="16" t="n">
        <v>52.2155914465012</v>
      </c>
      <c r="N55" s="16" t="s">
        <v>452</v>
      </c>
      <c r="O55" s="16" t="s">
        <v>453</v>
      </c>
      <c r="P55" s="11" t="s">
        <v>88</v>
      </c>
      <c r="Q55" s="11" t="n">
        <v>2024</v>
      </c>
      <c r="R55" s="11"/>
      <c r="S55" s="15" t="str">
        <f aca="false">IF($M55="","",IF(ISNUMBER($M55),"Measured",IF(ISNUMBER(SEARCH("DATA GAP",UPPER($M55))),"Gap",IF(AND($N55&lt;&gt;"",$P55&lt;&gt;"T5"),"Documented","Judged"))))</f>
        <v>Measured</v>
      </c>
      <c r="T55" s="15" t="n">
        <f aca="false">IF($AC55&lt;&gt;"","",IF(OR($S55="",$S55="Gap"),"",IF($S55="Measured",1+IF($H55="H",IF($M55&gt;=$I55,1,0)+IF($M55&gt;=$J55,1,0)+IF($M55&gt;=$K55,1,0)+IF($M55&gt;=$L55,1,0),IF($M55&lt;=$I55,1,0)+IF($M55&lt;=$J55,1,0)+IF($M55&lt;=$K55,1,0)+IF($M55&lt;=$L55,1,0)),IF($R55&lt;&gt;"",$R55,""))))</f>
        <v>3</v>
      </c>
      <c r="U55" s="15" t="str">
        <f aca="false">IF(OR($S55="",$S55="Gap",$Q55=""),"",IF($Q55&lt;Config!$C$2-Config!$C$3,"STALE",""))</f>
        <v/>
      </c>
      <c r="V55" s="15" t="n">
        <f aca="false">IF(OR(ISNUMBER(SEARCH("ALL",$E55)),ISNUMBER(SEARCH("ADV",$E55))),1,0)</f>
        <v>0</v>
      </c>
      <c r="W55" s="15" t="n">
        <f aca="false">IF(OR(ISNUMBER(SEARCH("ALL",$E55)),ISNUMBER(SEARCH("SMF",$E55))),1,0)</f>
        <v>0</v>
      </c>
      <c r="X55" s="15" t="n">
        <f aca="false">IF(OR(ISNUMBER(SEARCH("ALL",$E55)),ISNUMBER(SEARCH("MKT",$E55))),1,0)</f>
        <v>0</v>
      </c>
      <c r="Y55" s="15" t="n">
        <f aca="false">IF(OR(ISNUMBER(SEARCH("ALL",$E55)),ISNUMBER(SEARCH("SCM",$E55))),1,0)</f>
        <v>0</v>
      </c>
      <c r="Z55" s="15" t="n">
        <f aca="false">IF(OR(ISNUMBER(SEARCH("ALL",$E55)),ISNUMBER(SEARCH("FIN",$E55))),1,0)</f>
        <v>1</v>
      </c>
      <c r="AA55" s="15" t="n">
        <f aca="false">IF(OR(ISNUMBER(SEARCH("ALL",$E55)),ISNUMBER(SEARCH("AGI",$E55))),1,0)</f>
        <v>0</v>
      </c>
      <c r="AB55" s="17" t="s">
        <v>454</v>
      </c>
    </row>
    <row r="56" customFormat="false" ht="46.25" hidden="false" customHeight="false" outlineLevel="0" collapsed="false">
      <c r="A56" s="15" t="s">
        <v>455</v>
      </c>
      <c r="B56" s="10" t="s">
        <v>456</v>
      </c>
      <c r="C56" s="15" t="s">
        <v>449</v>
      </c>
      <c r="D56" s="15" t="s">
        <v>450</v>
      </c>
      <c r="E56" s="15" t="s">
        <v>415</v>
      </c>
      <c r="F56" s="15"/>
      <c r="G56" s="15" t="s">
        <v>143</v>
      </c>
      <c r="H56" s="15" t="s">
        <v>144</v>
      </c>
      <c r="I56" s="15" t="n">
        <v>10</v>
      </c>
      <c r="J56" s="15" t="n">
        <v>25</v>
      </c>
      <c r="K56" s="15" t="n">
        <v>50</v>
      </c>
      <c r="L56" s="15" t="n">
        <v>75</v>
      </c>
      <c r="M56" s="16" t="n">
        <v>32.8</v>
      </c>
      <c r="N56" s="16" t="s">
        <v>457</v>
      </c>
      <c r="O56" s="16" t="s">
        <v>458</v>
      </c>
      <c r="P56" s="11" t="s">
        <v>88</v>
      </c>
      <c r="Q56" s="11" t="n">
        <v>2024</v>
      </c>
      <c r="R56" s="11"/>
      <c r="S56" s="15" t="str">
        <f aca="false">IF($M56="","",IF(ISNUMBER($M56),"Measured",IF(ISNUMBER(SEARCH("DATA GAP",UPPER($M56))),"Gap",IF(AND($N56&lt;&gt;"",$P56&lt;&gt;"T5"),"Documented","Judged"))))</f>
        <v>Measured</v>
      </c>
      <c r="T56" s="15" t="n">
        <f aca="false">IF($AC56&lt;&gt;"","",IF(OR($S56="",$S56="Gap"),"",IF($S56="Measured",1+IF($H56="H",IF($M56&gt;=$I56,1,0)+IF($M56&gt;=$J56,1,0)+IF($M56&gt;=$K56,1,0)+IF($M56&gt;=$L56,1,0),IF($M56&lt;=$I56,1,0)+IF($M56&lt;=$J56,1,0)+IF($M56&lt;=$K56,1,0)+IF($M56&lt;=$L56,1,0)),IF($R56&lt;&gt;"",$R56,""))))</f>
        <v>3</v>
      </c>
      <c r="U56" s="15" t="str">
        <f aca="false">IF(OR($S56="",$S56="Gap",$Q56=""),"",IF($Q56&lt;Config!$C$2-Config!$C$3,"STALE",""))</f>
        <v/>
      </c>
      <c r="V56" s="15" t="n">
        <f aca="false">IF(OR(ISNUMBER(SEARCH("ALL",$E56)),ISNUMBER(SEARCH("ADV",$E56))),1,0)</f>
        <v>0</v>
      </c>
      <c r="W56" s="15" t="n">
        <f aca="false">IF(OR(ISNUMBER(SEARCH("ALL",$E56)),ISNUMBER(SEARCH("SMF",$E56))),1,0)</f>
        <v>0</v>
      </c>
      <c r="X56" s="15" t="n">
        <f aca="false">IF(OR(ISNUMBER(SEARCH("ALL",$E56)),ISNUMBER(SEARCH("MKT",$E56))),1,0)</f>
        <v>0</v>
      </c>
      <c r="Y56" s="15" t="n">
        <f aca="false">IF(OR(ISNUMBER(SEARCH("ALL",$E56)),ISNUMBER(SEARCH("SCM",$E56))),1,0)</f>
        <v>0</v>
      </c>
      <c r="Z56" s="15" t="n">
        <f aca="false">IF(OR(ISNUMBER(SEARCH("ALL",$E56)),ISNUMBER(SEARCH("FIN",$E56))),1,0)</f>
        <v>1</v>
      </c>
      <c r="AA56" s="15" t="n">
        <f aca="false">IF(OR(ISNUMBER(SEARCH("ALL",$E56)),ISNUMBER(SEARCH("AGI",$E56))),1,0)</f>
        <v>0</v>
      </c>
    </row>
    <row r="57" customFormat="false" ht="57.45" hidden="false" customHeight="false" outlineLevel="0" collapsed="false">
      <c r="A57" s="15" t="s">
        <v>459</v>
      </c>
      <c r="B57" s="10" t="s">
        <v>460</v>
      </c>
      <c r="C57" s="15" t="s">
        <v>449</v>
      </c>
      <c r="D57" s="15" t="s">
        <v>450</v>
      </c>
      <c r="E57" s="15" t="s">
        <v>461</v>
      </c>
      <c r="F57" s="15"/>
      <c r="G57" s="15" t="s">
        <v>143</v>
      </c>
      <c r="H57" s="15" t="s">
        <v>154</v>
      </c>
      <c r="I57" s="15" t="n">
        <v>20</v>
      </c>
      <c r="J57" s="15" t="n">
        <v>10</v>
      </c>
      <c r="K57" s="15" t="n">
        <v>5</v>
      </c>
      <c r="L57" s="15" t="n">
        <v>2</v>
      </c>
      <c r="M57" s="16" t="n">
        <v>4.1</v>
      </c>
      <c r="N57" s="16" t="s">
        <v>462</v>
      </c>
      <c r="O57" s="16" t="s">
        <v>463</v>
      </c>
      <c r="P57" s="11" t="s">
        <v>88</v>
      </c>
      <c r="Q57" s="11" t="n">
        <v>2024</v>
      </c>
      <c r="R57" s="11"/>
      <c r="S57" s="15" t="str">
        <f aca="false">IF($M57="","",IF(ISNUMBER($M57),"Measured",IF(ISNUMBER(SEARCH("DATA GAP",UPPER($M57))),"Gap",IF(AND($N57&lt;&gt;"",$P57&lt;&gt;"T5"),"Documented","Judged"))))</f>
        <v>Measured</v>
      </c>
      <c r="T57" s="15" t="n">
        <f aca="false">IF($AC57&lt;&gt;"","",IF(OR($S57="",$S57="Gap"),"",IF($S57="Measured",1+IF($H57="H",IF($M57&gt;=$I57,1,0)+IF($M57&gt;=$J57,1,0)+IF($M57&gt;=$K57,1,0)+IF($M57&gt;=$L57,1,0),IF($M57&lt;=$I57,1,0)+IF($M57&lt;=$J57,1,0)+IF($M57&lt;=$K57,1,0)+IF($M57&lt;=$L57,1,0)),IF($R57&lt;&gt;"",$R57,""))))</f>
        <v>4</v>
      </c>
      <c r="U57" s="15" t="str">
        <f aca="false">IF(OR($S57="",$S57="Gap",$Q57=""),"",IF($Q57&lt;Config!$C$2-Config!$C$3,"STALE",""))</f>
        <v/>
      </c>
      <c r="V57" s="15" t="n">
        <f aca="false">IF(OR(ISNUMBER(SEARCH("ALL",$E57)),ISNUMBER(SEARCH("ADV",$E57))),1,0)</f>
        <v>0</v>
      </c>
      <c r="W57" s="15" t="n">
        <f aca="false">IF(OR(ISNUMBER(SEARCH("ALL",$E57)),ISNUMBER(SEARCH("SMF",$E57))),1,0)</f>
        <v>0</v>
      </c>
      <c r="X57" s="15" t="n">
        <f aca="false">IF(OR(ISNUMBER(SEARCH("ALL",$E57)),ISNUMBER(SEARCH("MKT",$E57))),1,0)</f>
        <v>0</v>
      </c>
      <c r="Y57" s="15" t="n">
        <f aca="false">IF(OR(ISNUMBER(SEARCH("ALL",$E57)),ISNUMBER(SEARCH("SCM",$E57))),1,0)</f>
        <v>0</v>
      </c>
      <c r="Z57" s="15" t="n">
        <f aca="false">IF(OR(ISNUMBER(SEARCH("ALL",$E57)),ISNUMBER(SEARCH("FIN",$E57))),1,0)</f>
        <v>0</v>
      </c>
      <c r="AA57" s="15" t="n">
        <f aca="false">IF(OR(ISNUMBER(SEARCH("ALL",$E57)),ISNUMBER(SEARCH("AGI",$E57))),1,0)</f>
        <v>0</v>
      </c>
      <c r="AB57" s="17" t="s">
        <v>464</v>
      </c>
    </row>
    <row r="58" customFormat="false" ht="57.45" hidden="false" customHeight="false" outlineLevel="0" collapsed="false">
      <c r="A58" s="15" t="s">
        <v>465</v>
      </c>
      <c r="B58" s="10" t="s">
        <v>466</v>
      </c>
      <c r="C58" s="15" t="s">
        <v>449</v>
      </c>
      <c r="D58" s="15" t="s">
        <v>450</v>
      </c>
      <c r="E58" s="15" t="s">
        <v>467</v>
      </c>
      <c r="F58" s="15"/>
      <c r="G58" s="15" t="s">
        <v>143</v>
      </c>
      <c r="H58" s="15" t="s">
        <v>144</v>
      </c>
      <c r="I58" s="15" t="n">
        <v>10</v>
      </c>
      <c r="J58" s="15" t="n">
        <v>25</v>
      </c>
      <c r="K58" s="15" t="n">
        <v>50</v>
      </c>
      <c r="L58" s="15" t="n">
        <v>75</v>
      </c>
      <c r="M58" s="16" t="s">
        <v>468</v>
      </c>
      <c r="N58" s="16" t="s">
        <v>469</v>
      </c>
      <c r="O58" s="16" t="s">
        <v>470</v>
      </c>
      <c r="P58" s="11" t="s">
        <v>100</v>
      </c>
      <c r="Q58" s="11" t="n">
        <v>2019</v>
      </c>
      <c r="R58" s="11"/>
      <c r="S58" s="15" t="str">
        <f aca="false">IF($M58="","",IF(ISNUMBER($M58),"Measured",IF(ISNUMBER(SEARCH("DATA GAP",UPPER($M58))),"Gap",IF(AND($N58&lt;&gt;"",$P58&lt;&gt;"T5"),"Documented","Judged"))))</f>
        <v>Documented</v>
      </c>
      <c r="T58" s="15" t="str">
        <f aca="false">IF($AC58&lt;&gt;"","",IF(OR($S58="",$S58="Gap"),"",IF($S58="Measured",1+IF($H58="H",IF($M58&gt;=$I58,1,0)+IF($M58&gt;=$J58,1,0)+IF($M58&gt;=$K58,1,0)+IF($M58&gt;=$L58,1,0),IF($M58&lt;=$I58,1,0)+IF($M58&lt;=$J58,1,0)+IF($M58&lt;=$K58,1,0)+IF($M58&lt;=$L58,1,0)),IF($R58&lt;&gt;"",$R58,""))))</f>
        <v/>
      </c>
      <c r="U58" s="15" t="str">
        <f aca="false">IF(OR($S58="",$S58="Gap",$Q58=""),"",IF($Q58&lt;Config!$C$2-Config!$C$3,"STALE",""))</f>
        <v>STALE</v>
      </c>
      <c r="V58" s="15" t="n">
        <f aca="false">IF(OR(ISNUMBER(SEARCH("ALL",$E58)),ISNUMBER(SEARCH("ADV",$E58))),1,0)</f>
        <v>1</v>
      </c>
      <c r="W58" s="15" t="n">
        <f aca="false">IF(OR(ISNUMBER(SEARCH("ALL",$E58)),ISNUMBER(SEARCH("SMF",$E58))),1,0)</f>
        <v>1</v>
      </c>
      <c r="X58" s="15" t="n">
        <f aca="false">IF(OR(ISNUMBER(SEARCH("ALL",$E58)),ISNUMBER(SEARCH("MKT",$E58))),1,0)</f>
        <v>1</v>
      </c>
      <c r="Y58" s="15" t="n">
        <f aca="false">IF(OR(ISNUMBER(SEARCH("ALL",$E58)),ISNUMBER(SEARCH("SCM",$E58))),1,0)</f>
        <v>1</v>
      </c>
      <c r="Z58" s="15" t="n">
        <f aca="false">IF(OR(ISNUMBER(SEARCH("ALL",$E58)),ISNUMBER(SEARCH("FIN",$E58))),1,0)</f>
        <v>1</v>
      </c>
      <c r="AA58" s="15" t="n">
        <f aca="false">IF(OR(ISNUMBER(SEARCH("ALL",$E58)),ISNUMBER(SEARCH("AGI",$E58))),1,0)</f>
        <v>1</v>
      </c>
      <c r="AB58" s="17" t="s">
        <v>471</v>
      </c>
      <c r="AC58" s="11" t="s">
        <v>187</v>
      </c>
    </row>
    <row r="59" customFormat="false" ht="113.4" hidden="false" customHeight="false" outlineLevel="0" collapsed="false">
      <c r="A59" s="15" t="s">
        <v>472</v>
      </c>
      <c r="B59" s="10" t="s">
        <v>473</v>
      </c>
      <c r="C59" s="15" t="s">
        <v>449</v>
      </c>
      <c r="D59" s="15" t="s">
        <v>450</v>
      </c>
      <c r="E59" s="15" t="s">
        <v>474</v>
      </c>
      <c r="F59" s="15"/>
      <c r="G59" s="15" t="s">
        <v>143</v>
      </c>
      <c r="H59" s="15" t="s">
        <v>144</v>
      </c>
      <c r="I59" s="15" t="n">
        <v>25</v>
      </c>
      <c r="J59" s="15" t="n">
        <v>50</v>
      </c>
      <c r="K59" s="15" t="n">
        <v>75</v>
      </c>
      <c r="L59" s="15" t="n">
        <v>90</v>
      </c>
      <c r="M59" s="16" t="s">
        <v>475</v>
      </c>
      <c r="N59" s="16" t="s">
        <v>376</v>
      </c>
      <c r="O59" s="16"/>
      <c r="P59" s="11"/>
      <c r="Q59" s="11" t="n">
        <v>2026</v>
      </c>
      <c r="R59" s="11"/>
      <c r="S59" s="15" t="str">
        <f aca="false">IF($M59="","",IF(ISNUMBER($M59),"Measured",IF(ISNUMBER(SEARCH("DATA GAP",UPPER($M59))),"Gap",IF(AND($N59&lt;&gt;"",$P59&lt;&gt;"T5"),"Documented","Judged"))))</f>
        <v>Gap</v>
      </c>
      <c r="T59" s="15" t="str">
        <f aca="false">IF($AC59&lt;&gt;"","",IF(OR($S59="",$S59="Gap"),"",IF($S59="Measured",1+IF($H59="H",IF($M59&gt;=$I59,1,0)+IF($M59&gt;=$J59,1,0)+IF($M59&gt;=$K59,1,0)+IF($M59&gt;=$L59,1,0),IF($M59&lt;=$I59,1,0)+IF($M59&lt;=$J59,1,0)+IF($M59&lt;=$K59,1,0)+IF($M59&lt;=$L59,1,0)),IF($R59&lt;&gt;"",$R59,""))))</f>
        <v/>
      </c>
      <c r="U59" s="15" t="str">
        <f aca="false">IF(OR($S59="",$S59="Gap",$Q59=""),"",IF($Q59&lt;Config!$C$2-Config!$C$3,"STALE",""))</f>
        <v/>
      </c>
      <c r="V59" s="15" t="n">
        <f aca="false">IF(OR(ISNUMBER(SEARCH("ALL",$E59)),ISNUMBER(SEARCH("ADV",$E59))),1,0)</f>
        <v>1</v>
      </c>
      <c r="W59" s="15" t="n">
        <f aca="false">IF(OR(ISNUMBER(SEARCH("ALL",$E59)),ISNUMBER(SEARCH("SMF",$E59))),1,0)</f>
        <v>0</v>
      </c>
      <c r="X59" s="15" t="n">
        <f aca="false">IF(OR(ISNUMBER(SEARCH("ALL",$E59)),ISNUMBER(SEARCH("MKT",$E59))),1,0)</f>
        <v>0</v>
      </c>
      <c r="Y59" s="15" t="n">
        <f aca="false">IF(OR(ISNUMBER(SEARCH("ALL",$E59)),ISNUMBER(SEARCH("SCM",$E59))),1,0)</f>
        <v>0</v>
      </c>
      <c r="Z59" s="15" t="n">
        <f aca="false">IF(OR(ISNUMBER(SEARCH("ALL",$E59)),ISNUMBER(SEARCH("FIN",$E59))),1,0)</f>
        <v>0</v>
      </c>
      <c r="AA59" s="15" t="n">
        <f aca="false">IF(OR(ISNUMBER(SEARCH("ALL",$E59)),ISNUMBER(SEARCH("AGI",$E59))),1,0)</f>
        <v>0</v>
      </c>
      <c r="AB59" s="17" t="s">
        <v>476</v>
      </c>
    </row>
    <row r="60" customFormat="false" ht="57.45" hidden="false" customHeight="false" outlineLevel="0" collapsed="false">
      <c r="A60" s="15" t="s">
        <v>477</v>
      </c>
      <c r="B60" s="10" t="s">
        <v>478</v>
      </c>
      <c r="C60" s="15" t="s">
        <v>449</v>
      </c>
      <c r="D60" s="15" t="s">
        <v>450</v>
      </c>
      <c r="E60" s="15" t="s">
        <v>202</v>
      </c>
      <c r="F60" s="15"/>
      <c r="G60" s="15" t="s">
        <v>154</v>
      </c>
      <c r="H60" s="15"/>
      <c r="M60" s="16" t="s">
        <v>479</v>
      </c>
      <c r="N60" s="16" t="s">
        <v>480</v>
      </c>
      <c r="O60" s="16" t="s">
        <v>481</v>
      </c>
      <c r="P60" s="11" t="s">
        <v>92</v>
      </c>
      <c r="Q60" s="11" t="n">
        <v>2021</v>
      </c>
      <c r="R60" s="11" t="n">
        <v>3</v>
      </c>
      <c r="S60" s="15" t="str">
        <f aca="false">IF($M60="","",IF(ISNUMBER($M60),"Measured",IF(ISNUMBER(SEARCH("DATA GAP",UPPER($M60))),"Gap",IF(AND($N60&lt;&gt;"",$P60&lt;&gt;"T5"),"Documented","Judged"))))</f>
        <v>Documented</v>
      </c>
      <c r="T60" s="15" t="n">
        <f aca="false">IF($AC60&lt;&gt;"","",IF(OR($S60="",$S60="Gap"),"",IF($S60="Measured",1+IF($H60="H",IF($M60&gt;=$I60,1,0)+IF($M60&gt;=$J60,1,0)+IF($M60&gt;=$K60,1,0)+IF($M60&gt;=$L60,1,0),IF($M60&lt;=$I60,1,0)+IF($M60&lt;=$J60,1,0)+IF($M60&lt;=$K60,1,0)+IF($M60&lt;=$L60,1,0)),IF($R60&lt;&gt;"",$R60,""))))</f>
        <v>3</v>
      </c>
      <c r="U60" s="15" t="str">
        <f aca="false">IF(OR($S60="",$S60="Gap",$Q60=""),"",IF($Q60&lt;Config!$C$2-Config!$C$3,"STALE",""))</f>
        <v>STALE</v>
      </c>
      <c r="V60" s="15" t="n">
        <f aca="false">IF(OR(ISNUMBER(SEARCH("ALL",$E60)),ISNUMBER(SEARCH("ADV",$E60))),1,0)</f>
        <v>1</v>
      </c>
      <c r="W60" s="15" t="n">
        <f aca="false">IF(OR(ISNUMBER(SEARCH("ALL",$E60)),ISNUMBER(SEARCH("SMF",$E60))),1,0)</f>
        <v>1</v>
      </c>
      <c r="X60" s="15" t="n">
        <f aca="false">IF(OR(ISNUMBER(SEARCH("ALL",$E60)),ISNUMBER(SEARCH("MKT",$E60))),1,0)</f>
        <v>1</v>
      </c>
      <c r="Y60" s="15" t="n">
        <f aca="false">IF(OR(ISNUMBER(SEARCH("ALL",$E60)),ISNUMBER(SEARCH("SCM",$E60))),1,0)</f>
        <v>1</v>
      </c>
      <c r="Z60" s="15" t="n">
        <f aca="false">IF(OR(ISNUMBER(SEARCH("ALL",$E60)),ISNUMBER(SEARCH("FIN",$E60))),1,0)</f>
        <v>1</v>
      </c>
      <c r="AA60" s="15" t="n">
        <f aca="false">IF(OR(ISNUMBER(SEARCH("ALL",$E60)),ISNUMBER(SEARCH("AGI",$E60))),1,0)</f>
        <v>1</v>
      </c>
      <c r="AB60" s="17" t="s">
        <v>482</v>
      </c>
    </row>
    <row r="61" customFormat="false" ht="124.6" hidden="false" customHeight="false" outlineLevel="0" collapsed="false">
      <c r="A61" s="15" t="s">
        <v>483</v>
      </c>
      <c r="B61" s="10" t="s">
        <v>484</v>
      </c>
      <c r="C61" s="15" t="s">
        <v>449</v>
      </c>
      <c r="D61" s="15" t="s">
        <v>450</v>
      </c>
      <c r="E61" s="15" t="s">
        <v>355</v>
      </c>
      <c r="F61" s="15"/>
      <c r="G61" s="15" t="s">
        <v>143</v>
      </c>
      <c r="H61" s="15" t="s">
        <v>144</v>
      </c>
      <c r="I61" s="15" t="n">
        <v>20</v>
      </c>
      <c r="J61" s="15" t="n">
        <v>40</v>
      </c>
      <c r="K61" s="15" t="n">
        <v>60</v>
      </c>
      <c r="L61" s="15" t="n">
        <v>80</v>
      </c>
      <c r="M61" s="16" t="s">
        <v>485</v>
      </c>
      <c r="N61" s="16" t="s">
        <v>376</v>
      </c>
      <c r="O61" s="16"/>
      <c r="P61" s="11"/>
      <c r="Q61" s="11" t="n">
        <v>2026</v>
      </c>
      <c r="R61" s="11"/>
      <c r="S61" s="15" t="str">
        <f aca="false">IF($M61="","",IF(ISNUMBER($M61),"Measured",IF(ISNUMBER(SEARCH("DATA GAP",UPPER($M61))),"Gap",IF(AND($N61&lt;&gt;"",$P61&lt;&gt;"T5"),"Documented","Judged"))))</f>
        <v>Gap</v>
      </c>
      <c r="T61" s="15" t="str">
        <f aca="false">IF($AC61&lt;&gt;"","",IF(OR($S61="",$S61="Gap"),"",IF($S61="Measured",1+IF($H61="H",IF($M61&gt;=$I61,1,0)+IF($M61&gt;=$J61,1,0)+IF($M61&gt;=$K61,1,0)+IF($M61&gt;=$L61,1,0),IF($M61&lt;=$I61,1,0)+IF($M61&lt;=$J61,1,0)+IF($M61&lt;=$K61,1,0)+IF($M61&lt;=$L61,1,0)),IF($R61&lt;&gt;"",$R61,""))))</f>
        <v/>
      </c>
      <c r="U61" s="15" t="str">
        <f aca="false">IF(OR($S61="",$S61="Gap",$Q61=""),"",IF($Q61&lt;Config!$C$2-Config!$C$3,"STALE",""))</f>
        <v/>
      </c>
      <c r="V61" s="15" t="n">
        <f aca="false">IF(OR(ISNUMBER(SEARCH("ALL",$E61)),ISNUMBER(SEARCH("ADV",$E61))),1,0)</f>
        <v>1</v>
      </c>
      <c r="W61" s="15" t="n">
        <f aca="false">IF(OR(ISNUMBER(SEARCH("ALL",$E61)),ISNUMBER(SEARCH("SMF",$E61))),1,0)</f>
        <v>0</v>
      </c>
      <c r="X61" s="15" t="n">
        <f aca="false">IF(OR(ISNUMBER(SEARCH("ALL",$E61)),ISNUMBER(SEARCH("MKT",$E61))),1,0)</f>
        <v>0</v>
      </c>
      <c r="Y61" s="15" t="n">
        <f aca="false">IF(OR(ISNUMBER(SEARCH("ALL",$E61)),ISNUMBER(SEARCH("SCM",$E61))),1,0)</f>
        <v>0</v>
      </c>
      <c r="Z61" s="15" t="n">
        <f aca="false">IF(OR(ISNUMBER(SEARCH("ALL",$E61)),ISNUMBER(SEARCH("FIN",$E61))),1,0)</f>
        <v>0</v>
      </c>
      <c r="AA61" s="15" t="n">
        <f aca="false">IF(OR(ISNUMBER(SEARCH("ALL",$E61)),ISNUMBER(SEARCH("AGI",$E61))),1,0)</f>
        <v>0</v>
      </c>
      <c r="AB61" s="17" t="s">
        <v>486</v>
      </c>
    </row>
    <row r="64" customFormat="false" ht="15" hidden="false" customHeight="false" outlineLevel="0" collapsed="false">
      <c r="A64" s="18" t="s">
        <v>487</v>
      </c>
    </row>
    <row r="65" customFormat="false" ht="15" hidden="false" customHeight="false" outlineLevel="0" collapsed="false">
      <c r="A65" s="8" t="s">
        <v>115</v>
      </c>
      <c r="B65" s="8" t="s">
        <v>488</v>
      </c>
      <c r="C65" s="8" t="s">
        <v>489</v>
      </c>
      <c r="D65" s="8" t="s">
        <v>490</v>
      </c>
      <c r="E65" s="8" t="s">
        <v>491</v>
      </c>
      <c r="F65" s="8" t="s">
        <v>492</v>
      </c>
      <c r="G65" s="8" t="s">
        <v>493</v>
      </c>
      <c r="H65" s="8" t="s">
        <v>494</v>
      </c>
      <c r="I65" s="8" t="s">
        <v>495</v>
      </c>
      <c r="J65" s="8" t="s">
        <v>496</v>
      </c>
      <c r="K65" s="8" t="s">
        <v>129</v>
      </c>
    </row>
    <row r="66" customFormat="false" ht="15" hidden="false" customHeight="false" outlineLevel="0" collapsed="false">
      <c r="A66" s="9" t="s">
        <v>140</v>
      </c>
      <c r="B66" s="15" t="n">
        <f aca="false">COUNTIF($C$5:$C$61,$A66)</f>
        <v>10</v>
      </c>
      <c r="C66" s="15" t="n">
        <f aca="false">COUNTIFS($C$5:$C$61,$A66,$T$5:$T$61,"&gt;0")</f>
        <v>8</v>
      </c>
      <c r="D66" s="15" t="n">
        <f aca="false">IFERROR(ROUND(AVERAGEIF($C$5:$C$61,$A66,$T$5:$T$61),2),"")</f>
        <v>2.25</v>
      </c>
      <c r="E66" s="9" t="str">
        <f aca="false">IF($D66="","Not rated",IF((COUNTIFS($C$5:$C$61,$A66,$S$5:$S$61,"Judged",$T$5:$T$61,"&gt;0")+$I66+$J66)&gt;($C66-COUNTIFS($C$5:$C$61,$A66,$S$5:$S$61,"Judged",$T$5:$T$61,"&gt;0")),"("&amp;IF($D66&lt;1.5,"Nascent",IF($D66&lt;2.5,"Emerging",IF($D66&lt;3.5,"Established",IF($D66&lt;4.5,"Advanced","Transformative"))))&amp;")",IF($D66&lt;1.5,"Nascent",IF($D66&lt;2.5,"Emerging",IF($D66&lt;3.5,"Established",IF($D66&lt;4.5,"Advanced","Transformative"))))))</f>
        <v>Emerging</v>
      </c>
      <c r="F66" s="15" t="n">
        <f aca="false">COUNTIFS($C$5:$C$61,$A66,$S$5:$S$61,"Measured")</f>
        <v>5</v>
      </c>
      <c r="G66" s="15" t="n">
        <f aca="false">COUNTIFS($C$5:$C$61,$A66,$S$5:$S$61,"Documented")</f>
        <v>5</v>
      </c>
      <c r="H66" s="15" t="n">
        <f aca="false">COUNTIFS($C$5:$C$61,$A66,$S$5:$S$61,"Judged")</f>
        <v>0</v>
      </c>
      <c r="I66" s="15" t="n">
        <f aca="false">COUNTIFS($C$5:$C$61,$A66,$S$5:$S$61,"Gap")</f>
        <v>0</v>
      </c>
      <c r="J66" s="15" t="n">
        <f aca="false">COUNTIFS($C$5:$C$61,$A66,$AC$5:$AC$61,"&lt;&gt;")</f>
        <v>2</v>
      </c>
      <c r="K66" s="15" t="n">
        <f aca="false">COUNTIFS($C$5:$C$61,$A66,$U$5:$U$61,"STALE")</f>
        <v>6</v>
      </c>
    </row>
    <row r="67" customFormat="false" ht="15" hidden="false" customHeight="false" outlineLevel="0" collapsed="false">
      <c r="A67" s="9" t="s">
        <v>201</v>
      </c>
      <c r="B67" s="15" t="n">
        <f aca="false">COUNTIF($C$5:$C$61,$A67)</f>
        <v>6</v>
      </c>
      <c r="C67" s="15" t="n">
        <f aca="false">COUNTIFS($C$5:$C$61,$A67,$T$5:$T$61,"&gt;0")</f>
        <v>6</v>
      </c>
      <c r="D67" s="15" t="n">
        <f aca="false">IFERROR(ROUND(AVERAGEIF($C$5:$C$61,$A67,$T$5:$T$61),2),"")</f>
        <v>2.83</v>
      </c>
      <c r="E67" s="9" t="str">
        <f aca="false">IF($D67="","Not rated",IF((COUNTIFS($C$5:$C$61,$A67,$S$5:$S$61,"Judged",$T$5:$T$61,"&gt;0")+$I67+$J67)&gt;($C67-COUNTIFS($C$5:$C$61,$A67,$S$5:$S$61,"Judged",$T$5:$T$61,"&gt;0")),"("&amp;IF($D67&lt;1.5,"Nascent",IF($D67&lt;2.5,"Emerging",IF($D67&lt;3.5,"Established",IF($D67&lt;4.5,"Advanced","Transformative"))))&amp;")",IF($D67&lt;1.5,"Nascent",IF($D67&lt;2.5,"Emerging",IF($D67&lt;3.5,"Established",IF($D67&lt;4.5,"Advanced","Transformative"))))))</f>
        <v>Established</v>
      </c>
      <c r="F67" s="15" t="n">
        <f aca="false">COUNTIFS($C$5:$C$61,$A67,$S$5:$S$61,"Measured")</f>
        <v>4</v>
      </c>
      <c r="G67" s="15" t="n">
        <f aca="false">COUNTIFS($C$5:$C$61,$A67,$S$5:$S$61,"Documented")</f>
        <v>2</v>
      </c>
      <c r="H67" s="15" t="n">
        <f aca="false">COUNTIFS($C$5:$C$61,$A67,$S$5:$S$61,"Judged")</f>
        <v>0</v>
      </c>
      <c r="I67" s="15" t="n">
        <f aca="false">COUNTIFS($C$5:$C$61,$A67,$S$5:$S$61,"Gap")</f>
        <v>0</v>
      </c>
      <c r="J67" s="15" t="n">
        <f aca="false">COUNTIFS($C$5:$C$61,$A67,$AC$5:$AC$61,"&lt;&gt;")</f>
        <v>0</v>
      </c>
      <c r="K67" s="15" t="n">
        <f aca="false">COUNTIFS($C$5:$C$61,$A67,$U$5:$U$61,"STALE")</f>
        <v>0</v>
      </c>
    </row>
    <row r="68" customFormat="false" ht="15" hidden="false" customHeight="false" outlineLevel="0" collapsed="false">
      <c r="A68" s="9" t="s">
        <v>234</v>
      </c>
      <c r="B68" s="15" t="n">
        <f aca="false">COUNTIF($C$5:$C$61,$A68)</f>
        <v>8</v>
      </c>
      <c r="C68" s="15" t="n">
        <f aca="false">COUNTIFS($C$5:$C$61,$A68,$T$5:$T$61,"&gt;0")</f>
        <v>7</v>
      </c>
      <c r="D68" s="15" t="n">
        <f aca="false">IFERROR(ROUND(AVERAGEIF($C$5:$C$61,$A68,$T$5:$T$61),2),"")</f>
        <v>2.57</v>
      </c>
      <c r="E68" s="9" t="str">
        <f aca="false">IF($D68="","Not rated",IF((COUNTIFS($C$5:$C$61,$A68,$S$5:$S$61,"Judged",$T$5:$T$61,"&gt;0")+$I68+$J68)&gt;($C68-COUNTIFS($C$5:$C$61,$A68,$S$5:$S$61,"Judged",$T$5:$T$61,"&gt;0")),"("&amp;IF($D68&lt;1.5,"Nascent",IF($D68&lt;2.5,"Emerging",IF($D68&lt;3.5,"Established",IF($D68&lt;4.5,"Advanced","Transformative"))))&amp;")",IF($D68&lt;1.5,"Nascent",IF($D68&lt;2.5,"Emerging",IF($D68&lt;3.5,"Established",IF($D68&lt;4.5,"Advanced","Transformative"))))))</f>
        <v>Established</v>
      </c>
      <c r="F68" s="15" t="n">
        <f aca="false">COUNTIFS($C$5:$C$61,$A68,$S$5:$S$61,"Measured")</f>
        <v>1</v>
      </c>
      <c r="G68" s="15" t="n">
        <f aca="false">COUNTIFS($C$5:$C$61,$A68,$S$5:$S$61,"Documented")</f>
        <v>7</v>
      </c>
      <c r="H68" s="15" t="n">
        <f aca="false">COUNTIFS($C$5:$C$61,$A68,$S$5:$S$61,"Judged")</f>
        <v>0</v>
      </c>
      <c r="I68" s="15" t="n">
        <f aca="false">COUNTIFS($C$5:$C$61,$A68,$S$5:$S$61,"Gap")</f>
        <v>0</v>
      </c>
      <c r="J68" s="15" t="n">
        <f aca="false">COUNTIFS($C$5:$C$61,$A68,$AC$5:$AC$61,"&lt;&gt;")</f>
        <v>1</v>
      </c>
      <c r="K68" s="15" t="n">
        <f aca="false">COUNTIFS($C$5:$C$61,$A68,$U$5:$U$61,"STALE")</f>
        <v>0</v>
      </c>
    </row>
    <row r="69" customFormat="false" ht="15" hidden="false" customHeight="false" outlineLevel="0" collapsed="false">
      <c r="A69" s="9" t="s">
        <v>291</v>
      </c>
      <c r="B69" s="15" t="n">
        <f aca="false">COUNTIF($C$5:$C$61,$A69)</f>
        <v>8</v>
      </c>
      <c r="C69" s="15" t="n">
        <f aca="false">COUNTIFS($C$5:$C$61,$A69,$T$5:$T$61,"&gt;0")</f>
        <v>8</v>
      </c>
      <c r="D69" s="15" t="n">
        <f aca="false">IFERROR(ROUND(AVERAGEIF($C$5:$C$61,$A69,$T$5:$T$61),2),"")</f>
        <v>2.88</v>
      </c>
      <c r="E69" s="9" t="str">
        <f aca="false">IF($D69="","Not rated",IF((COUNTIFS($C$5:$C$61,$A69,$S$5:$S$61,"Judged",$T$5:$T$61,"&gt;0")+$I69+$J69)&gt;($C69-COUNTIFS($C$5:$C$61,$A69,$S$5:$S$61,"Judged",$T$5:$T$61,"&gt;0")),"("&amp;IF($D69&lt;1.5,"Nascent",IF($D69&lt;2.5,"Emerging",IF($D69&lt;3.5,"Established",IF($D69&lt;4.5,"Advanced","Transformative"))))&amp;")",IF($D69&lt;1.5,"Nascent",IF($D69&lt;2.5,"Emerging",IF($D69&lt;3.5,"Established",IF($D69&lt;4.5,"Advanced","Transformative"))))))</f>
        <v>Established</v>
      </c>
      <c r="F69" s="15" t="n">
        <f aca="false">COUNTIFS($C$5:$C$61,$A69,$S$5:$S$61,"Measured")</f>
        <v>3</v>
      </c>
      <c r="G69" s="15" t="n">
        <f aca="false">COUNTIFS($C$5:$C$61,$A69,$S$5:$S$61,"Documented")</f>
        <v>5</v>
      </c>
      <c r="H69" s="15" t="n">
        <f aca="false">COUNTIFS($C$5:$C$61,$A69,$S$5:$S$61,"Judged")</f>
        <v>0</v>
      </c>
      <c r="I69" s="15" t="n">
        <f aca="false">COUNTIFS($C$5:$C$61,$A69,$S$5:$S$61,"Gap")</f>
        <v>0</v>
      </c>
      <c r="J69" s="15" t="n">
        <f aca="false">COUNTIFS($C$5:$C$61,$A69,$AC$5:$AC$61,"&lt;&gt;")</f>
        <v>0</v>
      </c>
      <c r="K69" s="15" t="n">
        <f aca="false">COUNTIFS($C$5:$C$61,$A69,$U$5:$U$61,"STALE")</f>
        <v>0</v>
      </c>
    </row>
    <row r="70" customFormat="false" ht="15" hidden="false" customHeight="false" outlineLevel="0" collapsed="false">
      <c r="A70" s="9" t="s">
        <v>339</v>
      </c>
      <c r="B70" s="15" t="n">
        <f aca="false">COUNTIF($C$5:$C$61,$A70)</f>
        <v>7</v>
      </c>
      <c r="C70" s="15" t="n">
        <f aca="false">COUNTIFS($C$5:$C$61,$A70,$T$5:$T$61,"&gt;0")</f>
        <v>4</v>
      </c>
      <c r="D70" s="15" t="n">
        <f aca="false">IFERROR(ROUND(AVERAGEIF($C$5:$C$61,$A70,$T$5:$T$61),2),"")</f>
        <v>2.5</v>
      </c>
      <c r="E70" s="9" t="str">
        <f aca="false">IF($D70="","Not rated",IF((COUNTIFS($C$5:$C$61,$A70,$S$5:$S$61,"Judged",$T$5:$T$61,"&gt;0")+$I70+$J70)&gt;($C70-COUNTIFS($C$5:$C$61,$A70,$S$5:$S$61,"Judged",$T$5:$T$61,"&gt;0")),"("&amp;IF($D70&lt;1.5,"Nascent",IF($D70&lt;2.5,"Emerging",IF($D70&lt;3.5,"Established",IF($D70&lt;4.5,"Advanced","Transformative"))))&amp;")",IF($D70&lt;1.5,"Nascent",IF($D70&lt;2.5,"Emerging",IF($D70&lt;3.5,"Established",IF($D70&lt;4.5,"Advanced","Transformative"))))))</f>
        <v>Established</v>
      </c>
      <c r="F70" s="15" t="n">
        <f aca="false">COUNTIFS($C$5:$C$61,$A70,$S$5:$S$61,"Measured")</f>
        <v>2</v>
      </c>
      <c r="G70" s="15" t="n">
        <f aca="false">COUNTIFS($C$5:$C$61,$A70,$S$5:$S$61,"Documented")</f>
        <v>4</v>
      </c>
      <c r="H70" s="15" t="n">
        <f aca="false">COUNTIFS($C$5:$C$61,$A70,$S$5:$S$61,"Judged")</f>
        <v>0</v>
      </c>
      <c r="I70" s="15" t="n">
        <f aca="false">COUNTIFS($C$5:$C$61,$A70,$S$5:$S$61,"Gap")</f>
        <v>1</v>
      </c>
      <c r="J70" s="15" t="n">
        <f aca="false">COUNTIFS($C$5:$C$61,$A70,$AC$5:$AC$61,"&lt;&gt;")</f>
        <v>2</v>
      </c>
      <c r="K70" s="15" t="n">
        <f aca="false">COUNTIFS($C$5:$C$61,$A70,$U$5:$U$61,"STALE")</f>
        <v>2</v>
      </c>
    </row>
    <row r="71" customFormat="false" ht="15" hidden="false" customHeight="false" outlineLevel="0" collapsed="false">
      <c r="A71" s="9" t="s">
        <v>380</v>
      </c>
      <c r="B71" s="15" t="n">
        <f aca="false">COUNTIF($C$5:$C$61,$A71)</f>
        <v>11</v>
      </c>
      <c r="C71" s="15" t="n">
        <f aca="false">COUNTIFS($C$5:$C$61,$A71,$T$5:$T$61,"&gt;0")</f>
        <v>9</v>
      </c>
      <c r="D71" s="15" t="n">
        <f aca="false">IFERROR(ROUND(AVERAGEIF($C$5:$C$61,$A71,$T$5:$T$61),2),"")</f>
        <v>2.56</v>
      </c>
      <c r="E71" s="9" t="str">
        <f aca="false">IF($D71="","Not rated",IF((COUNTIFS($C$5:$C$61,$A71,$S$5:$S$61,"Judged",$T$5:$T$61,"&gt;0")+$I71+$J71)&gt;($C71-COUNTIFS($C$5:$C$61,$A71,$S$5:$S$61,"Judged",$T$5:$T$61,"&gt;0")),"("&amp;IF($D71&lt;1.5,"Nascent",IF($D71&lt;2.5,"Emerging",IF($D71&lt;3.5,"Established",IF($D71&lt;4.5,"Advanced","Transformative"))))&amp;")",IF($D71&lt;1.5,"Nascent",IF($D71&lt;2.5,"Emerging",IF($D71&lt;3.5,"Established",IF($D71&lt;4.5,"Advanced","Transformative"))))))</f>
        <v>Established</v>
      </c>
      <c r="F71" s="15" t="n">
        <f aca="false">COUNTIFS($C$5:$C$61,$A71,$S$5:$S$61,"Measured")</f>
        <v>1</v>
      </c>
      <c r="G71" s="15" t="n">
        <f aca="false">COUNTIFS($C$5:$C$61,$A71,$S$5:$S$61,"Documented")</f>
        <v>8</v>
      </c>
      <c r="H71" s="15" t="n">
        <f aca="false">COUNTIFS($C$5:$C$61,$A71,$S$5:$S$61,"Judged")</f>
        <v>1</v>
      </c>
      <c r="I71" s="15" t="n">
        <f aca="false">COUNTIFS($C$5:$C$61,$A71,$S$5:$S$61,"Gap")</f>
        <v>1</v>
      </c>
      <c r="J71" s="15" t="n">
        <f aca="false">COUNTIFS($C$5:$C$61,$A71,$AC$5:$AC$61,"&lt;&gt;")</f>
        <v>1</v>
      </c>
      <c r="K71" s="15" t="n">
        <f aca="false">COUNTIFS($C$5:$C$61,$A71,$U$5:$U$61,"STALE")</f>
        <v>1</v>
      </c>
    </row>
    <row r="72" customFormat="false" ht="15" hidden="false" customHeight="false" outlineLevel="0" collapsed="false">
      <c r="A72" s="9" t="s">
        <v>449</v>
      </c>
      <c r="B72" s="15" t="n">
        <f aca="false">COUNTIF($C$5:$C$61,$A72)</f>
        <v>7</v>
      </c>
      <c r="C72" s="15" t="n">
        <f aca="false">COUNTIFS($C$5:$C$61,$A72,$T$5:$T$61,"&gt;0")</f>
        <v>4</v>
      </c>
      <c r="D72" s="15" t="n">
        <f aca="false">IFERROR(ROUND(AVERAGEIF($C$5:$C$61,$A72,$T$5:$T$61),2),"")</f>
        <v>3.25</v>
      </c>
      <c r="E72" s="9" t="str">
        <f aca="false">IF($D72="","Not rated",IF((COUNTIFS($C$5:$C$61,$A72,$S$5:$S$61,"Judged",$T$5:$T$61,"&gt;0")+$I72+$J72)&gt;($C72-COUNTIFS($C$5:$C$61,$A72,$S$5:$S$61,"Judged",$T$5:$T$61,"&gt;0")),"("&amp;IF($D72&lt;1.5,"Nascent",IF($D72&lt;2.5,"Emerging",IF($D72&lt;3.5,"Established",IF($D72&lt;4.5,"Advanced","Transformative"))))&amp;")",IF($D72&lt;1.5,"Nascent",IF($D72&lt;2.5,"Emerging",IF($D72&lt;3.5,"Established",IF($D72&lt;4.5,"Advanced","Transformative"))))))</f>
        <v>Established</v>
      </c>
      <c r="F72" s="15" t="n">
        <f aca="false">COUNTIFS($C$5:$C$61,$A72,$S$5:$S$61,"Measured")</f>
        <v>3</v>
      </c>
      <c r="G72" s="15" t="n">
        <f aca="false">COUNTIFS($C$5:$C$61,$A72,$S$5:$S$61,"Documented")</f>
        <v>2</v>
      </c>
      <c r="H72" s="15" t="n">
        <f aca="false">COUNTIFS($C$5:$C$61,$A72,$S$5:$S$61,"Judged")</f>
        <v>0</v>
      </c>
      <c r="I72" s="15" t="n">
        <f aca="false">COUNTIFS($C$5:$C$61,$A72,$S$5:$S$61,"Gap")</f>
        <v>2</v>
      </c>
      <c r="J72" s="15" t="n">
        <f aca="false">COUNTIFS($C$5:$C$61,$A72,$AC$5:$AC$61,"&lt;&gt;")</f>
        <v>1</v>
      </c>
      <c r="K72" s="15" t="n">
        <f aca="false">COUNTIFS($C$5:$C$61,$A72,$U$5:$U$61,"STALE")</f>
        <v>2</v>
      </c>
    </row>
    <row r="75" customFormat="false" ht="15" hidden="false" customHeight="false" outlineLevel="0" collapsed="false">
      <c r="A75" s="18" t="s">
        <v>497</v>
      </c>
    </row>
    <row r="76" customFormat="false" ht="15" hidden="false" customHeight="false" outlineLevel="0" collapsed="false">
      <c r="A76" s="9" t="s">
        <v>141</v>
      </c>
      <c r="B76" s="15" t="n">
        <f aca="false">IFERROR(ROUND(AVERAGEIF($D$5:$D$61,$A76,$T$5:$T$61),2),"")</f>
        <v>2.5</v>
      </c>
    </row>
    <row r="77" customFormat="false" ht="15" hidden="false" customHeight="false" outlineLevel="0" collapsed="false">
      <c r="A77" s="9" t="s">
        <v>235</v>
      </c>
      <c r="B77" s="15" t="n">
        <f aca="false">IFERROR(ROUND(AVERAGEIF($D$5:$D$61,$A77,$T$5:$T$61),2),"")</f>
        <v>2.62</v>
      </c>
    </row>
    <row r="78" customFormat="false" ht="15" hidden="false" customHeight="false" outlineLevel="0" collapsed="false">
      <c r="A78" s="9" t="s">
        <v>388</v>
      </c>
      <c r="B78" s="15" t="n">
        <f aca="false">IFERROR(ROUND(AVERAGEIF($D$5:$D$61,$A78,$T$5:$T$61),2),"")</f>
        <v>2.71</v>
      </c>
    </row>
    <row r="79" customFormat="false" ht="15" hidden="false" customHeight="false" outlineLevel="0" collapsed="false">
      <c r="A79" s="9" t="s">
        <v>450</v>
      </c>
      <c r="B79" s="15" t="n">
        <f aca="false">IFERROR(ROUND(AVERAGEIF($D$5:$D$61,$A79,$T$5:$T$61),2),"")</f>
        <v>3.25</v>
      </c>
    </row>
    <row r="81" customFormat="false" ht="15" hidden="false" customHeight="false" outlineLevel="0" collapsed="false">
      <c r="A81" s="5" t="s">
        <v>498</v>
      </c>
      <c r="B81" s="9" t="n">
        <f aca="false">IF(OR($B$76="",$B$78=""),"",ROUND($B$76-$B$78,2))</f>
        <v>-0.21</v>
      </c>
      <c r="C81" s="15" t="str">
        <f aca="false">IF($B$81="","",IF(ABS($B$81)&gt;Config!$C$5,IF($B$81&gt;0,"FLAG — unrealized foundations","FLAG — services ahead of their rails"),"No structural flag"))</f>
        <v>No structural flag</v>
      </c>
    </row>
    <row r="84" customFormat="false" ht="15" hidden="false" customHeight="false" outlineLevel="0" collapsed="false">
      <c r="A84" s="18" t="s">
        <v>499</v>
      </c>
    </row>
    <row r="85" customFormat="false" ht="15" hidden="false" customHeight="false" outlineLevel="0" collapsed="false">
      <c r="A85" s="8" t="s">
        <v>113</v>
      </c>
      <c r="B85" s="8" t="s">
        <v>500</v>
      </c>
      <c r="C85" s="8" t="s">
        <v>501</v>
      </c>
      <c r="D85" s="8" t="s">
        <v>502</v>
      </c>
    </row>
    <row r="86" customFormat="false" ht="15" hidden="false" customHeight="false" outlineLevel="0" collapsed="false">
      <c r="A86" s="15" t="s">
        <v>199</v>
      </c>
      <c r="B86" s="10" t="str">
        <f aca="false">INDEX($B$5:$B$61,MATCH($A86,$A$5:$A$61,0))</f>
        <v>Rural mobile broadband coverage (3G/4G)</v>
      </c>
      <c r="C86" s="15" t="s">
        <v>503</v>
      </c>
      <c r="D86" s="9" t="str">
        <f aca="false">IF(OR(INDEX($S$5:$S$61,MATCH($A86,$A$5:$A$61,0))="Gap",INDEX($S$5:$S$61,MATCH($A86,$A$5:$A$61,0))="",INDEX($T$5:$T$61,MATCH($A86,$A$5:$A$61,0))=""),"Unverified",IF(INDEX($T$5:$T$61,MATCH($A86,$A$5:$A$61,0))&gt;=3,"Present",IF(INDEX($T$5:$T$61,MATCH($A86,$A$5:$A$61,0))=2,"Present (narrow)","Absent")))</f>
        <v>Present</v>
      </c>
    </row>
    <row r="87" customFormat="false" ht="15" hidden="false" customHeight="false" outlineLevel="0" collapsed="false">
      <c r="A87" s="15" t="s">
        <v>222</v>
      </c>
      <c r="B87" s="10" t="str">
        <f aca="false">INDEX($B$5:$B$61,MATCH($A87,$A$5:$A$61,0))</f>
        <v>Rural electricity access (%)</v>
      </c>
      <c r="C87" s="15" t="s">
        <v>503</v>
      </c>
      <c r="D87" s="9" t="str">
        <f aca="false">IF(OR(INDEX($S$5:$S$61,MATCH($A87,$A$5:$A$61,0))="Gap",INDEX($S$5:$S$61,MATCH($A87,$A$5:$A$61,0))="",INDEX($T$5:$T$61,MATCH($A87,$A$5:$A$61,0))=""),"Unverified",IF(INDEX($T$5:$T$61,MATCH($A87,$A$5:$A$61,0))&gt;=3,"Present",IF(INDEX($T$5:$T$61,MATCH($A87,$A$5:$A$61,0))=2,"Present (narrow)","Absent")))</f>
        <v>Present (narrow)</v>
      </c>
    </row>
    <row r="88" customFormat="false" ht="15" hidden="false" customHeight="false" outlineLevel="0" collapsed="false">
      <c r="A88" s="15" t="s">
        <v>289</v>
      </c>
      <c r="B88" s="10" t="str">
        <f aca="false">INDEX($B$5:$B$61,MATCH($A88,$A$5:$A$61,0))</f>
        <v>Data protection/privacy law</v>
      </c>
      <c r="C88" s="15" t="s">
        <v>503</v>
      </c>
      <c r="D88" s="9" t="str">
        <f aca="false">IF(OR(INDEX($S$5:$S$61,MATCH($A88,$A$5:$A$61,0))="Gap",INDEX($S$5:$S$61,MATCH($A88,$A$5:$A$61,0))="",INDEX($T$5:$T$61,MATCH($A88,$A$5:$A$61,0))=""),"Unverified",IF(INDEX($T$5:$T$61,MATCH($A88,$A$5:$A$61,0))&gt;=3,"Present",IF(INDEX($T$5:$T$61,MATCH($A88,$A$5:$A$61,0))=2,"Present (narrow)","Absent")))</f>
        <v>Present</v>
      </c>
    </row>
    <row r="89" customFormat="false" ht="15" hidden="false" customHeight="false" outlineLevel="0" collapsed="false">
      <c r="A89" s="15" t="s">
        <v>239</v>
      </c>
      <c r="B89" s="10" t="str">
        <f aca="false">INDEX($B$5:$B$61,MATCH($A89,$A$5:$A$61,0))</f>
        <v>National farmer registry</v>
      </c>
      <c r="C89" s="15" t="s">
        <v>504</v>
      </c>
      <c r="D89" s="9" t="str">
        <f aca="false">IF(OR(INDEX($S$5:$S$61,MATCH($A89,$A$5:$A$61,0))="Gap",INDEX($S$5:$S$61,MATCH($A89,$A$5:$A$61,0))="",INDEX($T$5:$T$61,MATCH($A89,$A$5:$A$61,0))=""),"Unverified",IF(INDEX($T$5:$T$61,MATCH($A89,$A$5:$A$61,0))&gt;=3,"Present",IF(INDEX($T$5:$T$61,MATCH($A89,$A$5:$A$61,0))=2,"Present (narrow)","Absent")))</f>
        <v>Present (narrow)</v>
      </c>
    </row>
    <row r="90" customFormat="false" ht="15" hidden="false" customHeight="false" outlineLevel="0" collapsed="false">
      <c r="A90" s="15" t="s">
        <v>282</v>
      </c>
      <c r="B90" s="10" t="str">
        <f aca="false">INDEX($B$5:$B$61,MATCH($A90,$A$5:$A$61,0))</f>
        <v>Agricultural data interoperability standards</v>
      </c>
      <c r="C90" s="15" t="s">
        <v>505</v>
      </c>
      <c r="D90" s="9" t="str">
        <f aca="false">IF(OR(INDEX($S$5:$S$61,MATCH($A90,$A$5:$A$61,0))="Gap",INDEX($S$5:$S$61,MATCH($A90,$A$5:$A$61,0))="",INDEX($T$5:$T$61,MATCH($A90,$A$5:$A$61,0))=""),"Unverified",IF(INDEX($T$5:$T$61,MATCH($A90,$A$5:$A$61,0))&gt;=3,"Present",IF(INDEX($T$5:$T$61,MATCH($A90,$A$5:$A$61,0))=2,"Present (narrow)","Absent")))</f>
        <v>Absent</v>
      </c>
    </row>
    <row r="91" customFormat="false" ht="15" hidden="false" customHeight="false" outlineLevel="0" collapsed="false">
      <c r="A91" s="15" t="s">
        <v>311</v>
      </c>
      <c r="B91" s="10" t="str">
        <f aca="false">INDEX($B$5:$B$61,MATCH($A91,$A$5:$A$61,0))</f>
        <v>Agricultural data governance framework</v>
      </c>
      <c r="C91" s="15" t="s">
        <v>505</v>
      </c>
      <c r="D91" s="9" t="str">
        <f aca="false">IF(OR(INDEX($S$5:$S$61,MATCH($A91,$A$5:$A$61,0))="Gap",INDEX($S$5:$S$61,MATCH($A91,$A$5:$A$61,0))="",INDEX($T$5:$T$61,MATCH($A91,$A$5:$A$61,0))=""),"Unverified",IF(INDEX($T$5:$T$61,MATCH($A91,$A$5:$A$61,0))&gt;=3,"Present",IF(INDEX($T$5:$T$61,MATCH($A91,$A$5:$A$61,0))=2,"Present (narrow)","Absent")))</f>
        <v>Absent</v>
      </c>
    </row>
    <row r="92" customFormat="false" ht="15" hidden="false" customHeight="false" outlineLevel="0" collapsed="false">
      <c r="A92" s="15" t="s">
        <v>323</v>
      </c>
      <c r="B92" s="10" t="str">
        <f aca="false">INDEX($B$5:$B$61,MATCH($A92,$A$5:$A$61,0))</f>
        <v>Digital ID coverage (%)</v>
      </c>
      <c r="C92" s="15" t="s">
        <v>506</v>
      </c>
      <c r="D92" s="9" t="str">
        <f aca="false">IF(OR(INDEX($S$5:$S$61,MATCH($A92,$A$5:$A$61,0))="Gap",INDEX($S$5:$S$61,MATCH($A92,$A$5:$A$61,0))="",INDEX($T$5:$T$61,MATCH($A92,$A$5:$A$61,0))=""),"Unverified",IF(INDEX($T$5:$T$61,MATCH($A92,$A$5:$A$61,0))&gt;=3,"Present",IF(INDEX($T$5:$T$61,MATCH($A92,$A$5:$A$61,0))=2,"Present (narrow)","Absent")))</f>
        <v>Present</v>
      </c>
    </row>
    <row r="93" customFormat="false" ht="15" hidden="false" customHeight="false" outlineLevel="0" collapsed="false">
      <c r="A93" s="15" t="s">
        <v>330</v>
      </c>
      <c r="B93" s="10" t="str">
        <f aca="false">INDEX($B$5:$B$61,MATCH($A93,$A$5:$A$61,0))</f>
        <v>Inter-ministerial coordination mechanism</v>
      </c>
      <c r="C93" s="15" t="s">
        <v>507</v>
      </c>
      <c r="D93" s="9" t="str">
        <f aca="false">IF(OR(INDEX($S$5:$S$61,MATCH($A93,$A$5:$A$61,0))="Gap",INDEX($S$5:$S$61,MATCH($A93,$A$5:$A$61,0))="",INDEX($T$5:$T$61,MATCH($A93,$A$5:$A$61,0))=""),"Unverified",IF(INDEX($T$5:$T$61,MATCH($A93,$A$5:$A$61,0))&gt;=3,"Present",IF(INDEX($T$5:$T$61,MATCH($A93,$A$5:$A$61,0))=2,"Present (narrow)","Absent")))</f>
        <v>Absent</v>
      </c>
    </row>
    <row r="94" customFormat="false" ht="15" hidden="false" customHeight="false" outlineLevel="0" collapsed="false">
      <c r="A94" s="15" t="s">
        <v>353</v>
      </c>
      <c r="B94" s="10" t="str">
        <f aca="false">INDEX($B$5:$B$61,MATCH($A94,$A$5:$A$61,0))</f>
        <v>Digital extension capability</v>
      </c>
      <c r="C94" s="15" t="s">
        <v>508</v>
      </c>
      <c r="D94" s="9" t="str">
        <f aca="false">IF(OR(INDEX($S$5:$S$61,MATCH($A94,$A$5:$A$61,0))="Gap",INDEX($S$5:$S$61,MATCH($A94,$A$5:$A$61,0))="",INDEX($T$5:$T$61,MATCH($A94,$A$5:$A$61,0))=""),"Unverified",IF(INDEX($T$5:$T$61,MATCH($A94,$A$5:$A$61,0))&gt;=3,"Present",IF(INDEX($T$5:$T$61,MATCH($A94,$A$5:$A$61,0))=2,"Present (narrow)","Absent")))</f>
        <v>Present</v>
      </c>
    </row>
    <row r="95" customFormat="false" ht="15" hidden="false" customHeight="false" outlineLevel="0" collapsed="false">
      <c r="A95" s="15" t="s">
        <v>360</v>
      </c>
      <c r="B95" s="10" t="str">
        <f aca="false">INDEX($B$5:$B$61,MATCH($A95,$A$5:$A$61,0))</f>
        <v>MoAg digital/AI unit</v>
      </c>
      <c r="C95" s="15" t="s">
        <v>507</v>
      </c>
      <c r="D95" s="9" t="str">
        <f aca="false">IF(OR(INDEX($S$5:$S$61,MATCH($A95,$A$5:$A$61,0))="Gap",INDEX($S$5:$S$61,MATCH($A95,$A$5:$A$61,0))="",INDEX($T$5:$T$61,MATCH($A95,$A$5:$A$61,0))=""),"Unverified",IF(INDEX($T$5:$T$61,MATCH($A95,$A$5:$A$61,0))&gt;=3,"Present",IF(INDEX($T$5:$T$61,MATCH($A95,$A$5:$A$61,0))=2,"Present (narrow)","Absent")))</f>
        <v>Absent</v>
      </c>
    </row>
    <row r="96" customFormat="false" ht="15" hidden="false" customHeight="false" outlineLevel="0" collapsed="false">
      <c r="A96" s="15" t="s">
        <v>413</v>
      </c>
      <c r="B96" s="10" t="str">
        <f aca="false">INDEX($B$5:$B$61,MATCH($A96,$A$5:$A$61,0))</f>
        <v>Agri-fintech rails for smallholders</v>
      </c>
      <c r="C96" s="15" t="s">
        <v>506</v>
      </c>
      <c r="D96" s="9" t="str">
        <f aca="false">IF(OR(INDEX($S$5:$S$61,MATCH($A96,$A$5:$A$61,0))="Gap",INDEX($S$5:$S$61,MATCH($A96,$A$5:$A$61,0))="",INDEX($T$5:$T$61,MATCH($A96,$A$5:$A$61,0))=""),"Unverified",IF(INDEX($T$5:$T$61,MATCH($A96,$A$5:$A$61,0))&gt;=3,"Present",IF(INDEX($T$5:$T$61,MATCH($A96,$A$5:$A$61,0))=2,"Present (narrow)","Absent")))</f>
        <v>Present</v>
      </c>
    </row>
    <row r="97" customFormat="false" ht="15" hidden="false" customHeight="false" outlineLevel="0" collapsed="false">
      <c r="A97" s="15" t="s">
        <v>439</v>
      </c>
      <c r="B97" s="10" t="str">
        <f aca="false">INDEX($B$5:$B$61,MATCH($A97,$A$5:$A$61,0))</f>
        <v>Responsible-AI safeguards (consent, rights)</v>
      </c>
      <c r="C97" s="15" t="s">
        <v>509</v>
      </c>
      <c r="D97" s="9" t="str">
        <f aca="false">IF(OR(INDEX($S$5:$S$61,MATCH($A97,$A$5:$A$61,0))="Gap",INDEX($S$5:$S$61,MATCH($A97,$A$5:$A$61,0))="",INDEX($T$5:$T$61,MATCH($A97,$A$5:$A$61,0))=""),"Unverified",IF(INDEX($T$5:$T$61,MATCH($A97,$A$5:$A$61,0))&gt;=3,"Present",IF(INDEX($T$5:$T$61,MATCH($A97,$A$5:$A$61,0))=2,"Present (narrow)","Absent")))</f>
        <v>Present</v>
      </c>
    </row>
    <row r="100" customFormat="false" ht="15" hidden="false" customHeight="false" outlineLevel="0" collapsed="false">
      <c r="A100" s="18" t="s">
        <v>510</v>
      </c>
    </row>
    <row r="101" customFormat="false" ht="15" hidden="false" customHeight="false" outlineLevel="0" collapsed="false">
      <c r="A101" s="8" t="s">
        <v>511</v>
      </c>
      <c r="B101" s="8" t="s">
        <v>512</v>
      </c>
      <c r="C101" s="8" t="s">
        <v>502</v>
      </c>
      <c r="D101" s="8" t="s">
        <v>513</v>
      </c>
    </row>
    <row r="102" customFormat="false" ht="15" hidden="false" customHeight="false" outlineLevel="0" collapsed="false">
      <c r="A102" s="9" t="s">
        <v>514</v>
      </c>
      <c r="B102" s="15" t="n">
        <f aca="false">IFERROR(ROUND(AVERAGEIF(V$5:V$61,1,$T$5:$T$61),2),"")</f>
        <v>2.72</v>
      </c>
      <c r="C102" s="9" t="str">
        <f aca="false">IF(OR($D$86="Absent",$D$87="Absent",$D$88="Absent",$D$94="Absent"),"Blocked",IF(OR($D$86="Unverified",$D$87="Unverified",$D$88="Unverified",$D$94="Unverified"),"Unverified",IF(OR(OR($D$94="Present (narrow)"),$B102&lt;Config!$C$4,OR($D$86="Present (narrow)",$D$87="Present (narrow)",$D$88="Present (narrow)")),"Partial","Ready")))</f>
        <v>Partial</v>
      </c>
      <c r="D102" s="10" t="str">
        <f aca="false">IF($C102="Ready","",IF(TRIM(IF($D$86&lt;&gt;"Present",$A$86&amp;" ","")&amp;IF($D$87&lt;&gt;"Present",$A$87&amp;" ","")&amp;IF($D$88&lt;&gt;"Present",$A$88&amp;" ","")&amp;IF($D$94&lt;&gt;"Present",$A$94&amp;" ",""))&lt;&gt;"",TRIM(IF($D$86&lt;&gt;"Present",$A$86&amp;" ","")&amp;IF($D$87&lt;&gt;"Present",$A$87&amp;" ","")&amp;IF($D$88&lt;&gt;"Present",$A$88&amp;" ","")&amp;IF($D$94&lt;&gt;"Present",$A$94&amp;" ","")),IF($B102&lt;Config!$C$4,"thin enablers (mean below "&amp;TEXT(Config!$C$4,"0.0")&amp;")","")))</f>
        <v>2.9</v>
      </c>
    </row>
    <row r="103" customFormat="false" ht="15" hidden="false" customHeight="false" outlineLevel="0" collapsed="false">
      <c r="A103" s="9" t="s">
        <v>515</v>
      </c>
      <c r="B103" s="15" t="n">
        <f aca="false">IFERROR(ROUND(AVERAGEIF(W$5:W$61,1,$T$5:$T$61),2),"")</f>
        <v>2.69</v>
      </c>
      <c r="C103" s="9" t="str">
        <f aca="false">IF(OR($D$86="Absent",$D$87="Absent",$D$88="Absent"),"Blocked",IF(OR($D$86="Unverified",$D$87="Unverified",$D$88="Unverified"),"Unverified",IF(OR($B103&lt;Config!$C$4,OR($D$86="Present (narrow)",$D$87="Present (narrow)",$D$88="Present (narrow)")),"Partial","Ready")))</f>
        <v>Partial</v>
      </c>
      <c r="D103" s="10" t="str">
        <f aca="false">IF($C103="Ready","",IF(TRIM(IF($D$86&lt;&gt;"Present",$A$86&amp;" ","")&amp;IF($D$87&lt;&gt;"Present",$A$87&amp;" ","")&amp;IF($D$88&lt;&gt;"Present",$A$88&amp;" ",""))&lt;&gt;"",TRIM(IF($D$86&lt;&gt;"Present",$A$86&amp;" ","")&amp;IF($D$87&lt;&gt;"Present",$A$87&amp;" ","")&amp;IF($D$88&lt;&gt;"Present",$A$88&amp;" ","")),IF($B103&lt;Config!$C$4,"thin enablers (mean below "&amp;TEXT(Config!$C$4,"0.0")&amp;")","")))</f>
        <v>2.9</v>
      </c>
    </row>
    <row r="104" customFormat="false" ht="15" hidden="false" customHeight="false" outlineLevel="0" collapsed="false">
      <c r="A104" s="9" t="s">
        <v>516</v>
      </c>
      <c r="B104" s="15" t="n">
        <f aca="false">IFERROR(ROUND(AVERAGEIF(X$5:X$61,1,$T$5:$T$61),2),"")</f>
        <v>2.58</v>
      </c>
      <c r="C104" s="9" t="str">
        <f aca="false">IF(OR($D$86="Absent",$D$87="Absent",$D$88="Absent"),"Blocked",IF(OR($D$86="Unverified",$D$87="Unverified",$D$88="Unverified"),"Unverified",IF(OR($B104&lt;Config!$C$4,OR($D$86="Present (narrow)",$D$87="Present (narrow)",$D$88="Present (narrow)")),"Partial","Ready")))</f>
        <v>Partial</v>
      </c>
      <c r="D104" s="10" t="str">
        <f aca="false">IF($C104="Ready","",IF(TRIM(IF($D$86&lt;&gt;"Present",$A$86&amp;" ","")&amp;IF($D$87&lt;&gt;"Present",$A$87&amp;" ","")&amp;IF($D$88&lt;&gt;"Present",$A$88&amp;" ",""))&lt;&gt;"",TRIM(IF($D$86&lt;&gt;"Present",$A$86&amp;" ","")&amp;IF($D$87&lt;&gt;"Present",$A$87&amp;" ","")&amp;IF($D$88&lt;&gt;"Present",$A$88&amp;" ","")),IF($B104&lt;Config!$C$4,"thin enablers (mean below "&amp;TEXT(Config!$C$4,"0.0")&amp;")","")))</f>
        <v>2.9</v>
      </c>
    </row>
    <row r="105" customFormat="false" ht="15" hidden="false" customHeight="false" outlineLevel="0" collapsed="false">
      <c r="A105" s="9" t="s">
        <v>517</v>
      </c>
      <c r="B105" s="15" t="n">
        <f aca="false">IFERROR(ROUND(AVERAGEIF(Y$5:Y$61,1,$T$5:$T$61),2),"")</f>
        <v>2.63</v>
      </c>
      <c r="C105" s="9" t="str">
        <f aca="false">IF(OR($D$86="Absent",$D$87="Absent",$D$88="Absent"),"Blocked",IF(OR($D$86="Unverified",$D$87="Unverified",$D$88="Unverified"),"Unverified",IF(OR($B105&lt;Config!$C$4,OR($D$86="Present (narrow)",$D$87="Present (narrow)",$D$88="Present (narrow)")),"Partial","Ready")))</f>
        <v>Partial</v>
      </c>
      <c r="D105" s="10" t="str">
        <f aca="false">IF($C105="Ready","",IF(TRIM(IF($D$86&lt;&gt;"Present",$A$86&amp;" ","")&amp;IF($D$87&lt;&gt;"Present",$A$87&amp;" ","")&amp;IF($D$88&lt;&gt;"Present",$A$88&amp;" ",""))&lt;&gt;"",TRIM(IF($D$86&lt;&gt;"Present",$A$86&amp;" ","")&amp;IF($D$87&lt;&gt;"Present",$A$87&amp;" ","")&amp;IF($D$88&lt;&gt;"Present",$A$88&amp;" ","")),IF($B105&lt;Config!$C$4,"thin enablers (mean below "&amp;TEXT(Config!$C$4,"0.0")&amp;")","")))</f>
        <v>2.9</v>
      </c>
    </row>
    <row r="106" customFormat="false" ht="15" hidden="false" customHeight="false" outlineLevel="0" collapsed="false">
      <c r="A106" s="9" t="s">
        <v>518</v>
      </c>
      <c r="B106" s="15" t="n">
        <f aca="false">IFERROR(ROUND(AVERAGEIF(Z$5:Z$61,1,$T$5:$T$61),2),"")</f>
        <v>2.5</v>
      </c>
      <c r="C106" s="9" t="str">
        <f aca="false">IF(OR($D$86="Absent",$D$87="Absent",$D$88="Absent",$D$89="Absent",$D$92="Absent",$D$96="Absent"),"Blocked",IF(OR($D$86="Unverified",$D$87="Unverified",$D$88="Unverified",$D$89="Unverified",$D$92="Unverified",$D$96="Unverified"),"Unverified",IF(OR(OR($D$89="Present (narrow)",$D$92="Present (narrow)",$D$96="Present (narrow)"),$B106&lt;Config!$C$4,OR($D$86="Present (narrow)",$D$87="Present (narrow)",$D$88="Present (narrow)")),"Partial","Ready")))</f>
        <v>Partial</v>
      </c>
      <c r="D106" s="10" t="str">
        <f aca="false">IF($C106="Ready","",IF(TRIM(IF($D$86&lt;&gt;"Present",$A$86&amp;" ","")&amp;IF($D$87&lt;&gt;"Present",$A$87&amp;" ","")&amp;IF($D$88&lt;&gt;"Present",$A$88&amp;" ","")&amp;IF($D$89&lt;&gt;"Present",$A$89&amp;" ","")&amp;IF($D$92&lt;&gt;"Present",$A$92&amp;" ","")&amp;IF($D$96&lt;&gt;"Present",$A$96&amp;" ",""))&lt;&gt;"",TRIM(IF($D$86&lt;&gt;"Present",$A$86&amp;" ","")&amp;IF($D$87&lt;&gt;"Present",$A$87&amp;" ","")&amp;IF($D$88&lt;&gt;"Present",$A$88&amp;" ","")&amp;IF($D$89&lt;&gt;"Present",$A$89&amp;" ","")&amp;IF($D$92&lt;&gt;"Present",$A$92&amp;" ","")&amp;IF($D$96&lt;&gt;"Present",$A$96&amp;" ","")),IF($B106&lt;Config!$C$4,"thin enablers (mean below "&amp;TEXT(Config!$C$4,"0.0")&amp;")","")))</f>
        <v>2.9 3.3</v>
      </c>
    </row>
    <row r="107" customFormat="false" ht="15" hidden="false" customHeight="false" outlineLevel="0" collapsed="false">
      <c r="A107" s="9" t="s">
        <v>519</v>
      </c>
      <c r="B107" s="15" t="n">
        <f aca="false">IFERROR(ROUND(AVERAGEIF(AA$5:AA$61,1,$T$5:$T$61),2),"")</f>
        <v>2.59</v>
      </c>
      <c r="C107" s="9" t="str">
        <f aca="false">IF(OR($D$86="Absent",$D$87="Absent",$D$88="Absent",$D$89="Absent",$D$90="Absent",$D$91="Absent",$D$97="Absent"),"Blocked",IF(OR($D$86="Unverified",$D$87="Unverified",$D$88="Unverified",$D$89="Unverified",$D$90="Unverified",$D$91="Unverified",$D$97="Unverified"),"Unverified",IF(OR(OR($D$89="Present (narrow)",$D$90="Present (narrow)",$D$91="Present (narrow)",$D$97="Present (narrow)"),$B107&lt;Config!$C$4,OR($D$86="Present (narrow)",$D$87="Present (narrow)",$D$88="Present (narrow)")),"Partial","Ready")))</f>
        <v>Blocked</v>
      </c>
      <c r="D107" s="10" t="str">
        <f aca="false">IF($C107="Ready","",IF(TRIM(IF($D$86&lt;&gt;"Present",$A$86&amp;" ","")&amp;IF($D$87&lt;&gt;"Present",$A$87&amp;" ","")&amp;IF($D$88&lt;&gt;"Present",$A$88&amp;" ","")&amp;IF($D$89&lt;&gt;"Present",$A$89&amp;" ","")&amp;IF($D$90&lt;&gt;"Present",$A$90&amp;" ","")&amp;IF($D$91&lt;&gt;"Present",$A$91&amp;" ","")&amp;IF($D$97&lt;&gt;"Present",$A$97&amp;" ",""))&lt;&gt;"",TRIM(IF($D$86&lt;&gt;"Present",$A$86&amp;" ","")&amp;IF($D$87&lt;&gt;"Present",$A$87&amp;" ","")&amp;IF($D$88&lt;&gt;"Present",$A$88&amp;" ","")&amp;IF($D$89&lt;&gt;"Present",$A$89&amp;" ","")&amp;IF($D$90&lt;&gt;"Present",$A$90&amp;" ","")&amp;IF($D$91&lt;&gt;"Present",$A$91&amp;" ","")&amp;IF($D$97&lt;&gt;"Present",$A$97&amp;" ","")),IF($B107&lt;Config!$C$4,"thin enablers (mean below "&amp;TEXT(Config!$C$4,"0.0")&amp;")","")))</f>
        <v>2.9 3.3 3.11 4.5</v>
      </c>
    </row>
    <row r="110" customFormat="false" ht="15" hidden="false" customHeight="false" outlineLevel="0" collapsed="false">
      <c r="A110" s="19" t="s">
        <v>520</v>
      </c>
      <c r="B110" s="19"/>
      <c r="C110" s="19"/>
      <c r="D110" s="19"/>
      <c r="E110" s="19"/>
      <c r="F110" s="19"/>
      <c r="G110" s="19"/>
      <c r="H110" s="19"/>
    </row>
    <row r="111" customFormat="false" ht="46.25" hidden="false" customHeight="false" outlineLevel="0" collapsed="false">
      <c r="A111" s="15" t="s">
        <v>521</v>
      </c>
      <c r="B111" s="10" t="s">
        <v>522</v>
      </c>
      <c r="C111" s="15" t="s">
        <v>523</v>
      </c>
      <c r="M111" s="16" t="n">
        <v>16.3</v>
      </c>
      <c r="N111" s="16" t="s">
        <v>524</v>
      </c>
      <c r="O111" s="16" t="s">
        <v>525</v>
      </c>
      <c r="P111" s="11" t="s">
        <v>88</v>
      </c>
      <c r="Q111" s="11" t="n">
        <v>2022</v>
      </c>
      <c r="S111" s="20" t="s">
        <v>526</v>
      </c>
    </row>
    <row r="112" customFormat="false" ht="46.25" hidden="false" customHeight="false" outlineLevel="0" collapsed="false">
      <c r="A112" s="15" t="s">
        <v>527</v>
      </c>
      <c r="B112" s="10" t="s">
        <v>528</v>
      </c>
      <c r="C112" s="15" t="s">
        <v>523</v>
      </c>
      <c r="M112" s="16" t="n">
        <v>0.32317113096099</v>
      </c>
      <c r="N112" s="16" t="s">
        <v>529</v>
      </c>
      <c r="O112" s="16" t="s">
        <v>530</v>
      </c>
      <c r="P112" s="11" t="s">
        <v>88</v>
      </c>
      <c r="Q112" s="11" t="n">
        <v>2017</v>
      </c>
      <c r="S112" s="20" t="s">
        <v>526</v>
      </c>
      <c r="AB112" s="17" t="s">
        <v>531</v>
      </c>
    </row>
  </sheetData>
  <mergeCells count="1">
    <mergeCell ref="A110:H110"/>
  </mergeCells>
  <dataValidations count="2">
    <dataValidation allowBlank="true" errorStyle="stop" operator="between" showDropDown="false" showErrorMessage="false" showInputMessage="false" sqref="P5:P61" type="list">
      <formula1>"T1,T2,T3,T4,T5"</formula1>
      <formula2>0</formula2>
    </dataValidation>
    <dataValidation allowBlank="true" errorStyle="stop" operator="between" showDropDown="false" showErrorMessage="false" showInputMessage="false" sqref="R5:R61" type="list">
      <formula1>"1,2,3,4,5"</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6"/>
    <col collapsed="false" customWidth="true" hidden="false" outlineLevel="0" max="3" min="3" style="0" width="12"/>
    <col collapsed="false" customWidth="true" hidden="false" outlineLevel="0" max="4" min="4" style="0" width="10"/>
    <col collapsed="false" customWidth="true" hidden="false" outlineLevel="0" max="5" min="5" style="0" width="56"/>
    <col collapsed="false" customWidth="true" hidden="false" outlineLevel="0" max="6" min="6" style="0" width="12"/>
    <col collapsed="false" customWidth="true" hidden="false" outlineLevel="0" max="7" min="7" style="0" width="46"/>
    <col collapsed="false" customWidth="true" hidden="false" outlineLevel="0" max="8" min="8" style="0" width="16"/>
    <col collapsed="false" customWidth="true" hidden="false" outlineLevel="0" max="9" min="9" style="0" width="14"/>
  </cols>
  <sheetData>
    <row r="1" customFormat="false" ht="17.35" hidden="false" customHeight="false" outlineLevel="0" collapsed="false">
      <c r="B1" s="1" t="s">
        <v>532</v>
      </c>
    </row>
    <row r="2" customFormat="false" ht="15" hidden="false" customHeight="false" outlineLevel="0" collapsed="false">
      <c r="B2" s="2" t="s">
        <v>533</v>
      </c>
    </row>
    <row r="4" customFormat="false" ht="15" hidden="false" customHeight="false" outlineLevel="0" collapsed="false">
      <c r="B4" s="8" t="s">
        <v>534</v>
      </c>
      <c r="C4" s="8" t="s">
        <v>28</v>
      </c>
      <c r="D4" s="8" t="s">
        <v>128</v>
      </c>
      <c r="E4" s="8" t="s">
        <v>535</v>
      </c>
      <c r="F4" s="8" t="s">
        <v>536</v>
      </c>
      <c r="G4" s="8" t="s">
        <v>537</v>
      </c>
      <c r="H4" s="8" t="s">
        <v>538</v>
      </c>
      <c r="I4" s="8" t="s">
        <v>502</v>
      </c>
    </row>
    <row r="5" customFormat="false" ht="15" hidden="false" customHeight="false" outlineLevel="0" collapsed="false">
      <c r="B5" s="16"/>
      <c r="C5" s="16"/>
      <c r="D5" s="16"/>
      <c r="E5" s="16"/>
      <c r="F5" s="16"/>
      <c r="G5" s="16"/>
      <c r="H5" s="16"/>
      <c r="I5" s="16"/>
    </row>
    <row r="6" customFormat="false" ht="15" hidden="false" customHeight="false" outlineLevel="0" collapsed="false">
      <c r="B6" s="16"/>
      <c r="C6" s="16"/>
      <c r="D6" s="16"/>
      <c r="E6" s="16"/>
      <c r="F6" s="16"/>
      <c r="G6" s="16"/>
      <c r="H6" s="16"/>
      <c r="I6" s="16"/>
    </row>
    <row r="7" customFormat="false" ht="15" hidden="false" customHeight="false" outlineLevel="0" collapsed="false">
      <c r="B7" s="16"/>
      <c r="C7" s="16"/>
      <c r="D7" s="16"/>
      <c r="E7" s="16"/>
      <c r="F7" s="16"/>
      <c r="G7" s="16"/>
      <c r="H7" s="16"/>
      <c r="I7" s="16"/>
    </row>
    <row r="8" customFormat="false" ht="15" hidden="false" customHeight="false" outlineLevel="0" collapsed="false">
      <c r="B8" s="16"/>
      <c r="C8" s="16"/>
      <c r="D8" s="16"/>
      <c r="E8" s="16"/>
      <c r="F8" s="16"/>
      <c r="G8" s="16"/>
      <c r="H8" s="16"/>
      <c r="I8" s="16"/>
    </row>
    <row r="9" customFormat="false" ht="15" hidden="false" customHeight="false" outlineLevel="0" collapsed="false">
      <c r="B9" s="16"/>
      <c r="C9" s="16"/>
      <c r="D9" s="16"/>
      <c r="E9" s="16"/>
      <c r="F9" s="16"/>
      <c r="G9" s="16"/>
      <c r="H9" s="16"/>
      <c r="I9" s="16"/>
    </row>
    <row r="10" customFormat="false" ht="15" hidden="false" customHeight="false" outlineLevel="0" collapsed="false">
      <c r="B10" s="16"/>
      <c r="C10" s="16"/>
      <c r="D10" s="16"/>
      <c r="E10" s="16"/>
      <c r="F10" s="16"/>
      <c r="G10" s="16"/>
      <c r="H10" s="16"/>
      <c r="I10" s="16"/>
    </row>
    <row r="11" customFormat="false" ht="15" hidden="false" customHeight="false" outlineLevel="0" collapsed="false">
      <c r="B11" s="16"/>
      <c r="C11" s="16"/>
      <c r="D11" s="16"/>
      <c r="E11" s="16"/>
      <c r="F11" s="16"/>
      <c r="G11" s="16"/>
      <c r="H11" s="16"/>
      <c r="I11" s="16"/>
    </row>
    <row r="12" customFormat="false" ht="15" hidden="false" customHeight="false" outlineLevel="0" collapsed="false">
      <c r="B12" s="16"/>
      <c r="C12" s="16"/>
      <c r="D12" s="16"/>
      <c r="E12" s="16"/>
      <c r="F12" s="16"/>
      <c r="G12" s="16"/>
      <c r="H12" s="16"/>
      <c r="I12" s="16"/>
    </row>
    <row r="13" customFormat="false" ht="15" hidden="false" customHeight="false" outlineLevel="0" collapsed="false">
      <c r="B13" s="16"/>
      <c r="C13" s="16"/>
      <c r="D13" s="16"/>
      <c r="E13" s="16"/>
      <c r="F13" s="16"/>
      <c r="G13" s="16"/>
      <c r="H13" s="16"/>
      <c r="I13" s="16"/>
    </row>
    <row r="14" customFormat="false" ht="15" hidden="false" customHeight="false" outlineLevel="0" collapsed="false">
      <c r="B14" s="16"/>
      <c r="C14" s="16"/>
      <c r="D14" s="16"/>
      <c r="E14" s="16"/>
      <c r="F14" s="16"/>
      <c r="G14" s="16"/>
      <c r="H14" s="16"/>
      <c r="I14" s="16"/>
    </row>
    <row r="15" customFormat="false" ht="15" hidden="false" customHeight="false" outlineLevel="0" collapsed="false">
      <c r="B15" s="16"/>
      <c r="C15" s="16"/>
      <c r="D15" s="16"/>
      <c r="E15" s="16"/>
      <c r="F15" s="16"/>
      <c r="G15" s="16"/>
      <c r="H15" s="16"/>
      <c r="I15" s="16"/>
    </row>
    <row r="16" customFormat="false" ht="15" hidden="false" customHeight="false" outlineLevel="0" collapsed="false">
      <c r="B16" s="16"/>
      <c r="C16" s="16"/>
      <c r="D16" s="16"/>
      <c r="E16" s="16"/>
      <c r="F16" s="16"/>
      <c r="G16" s="16"/>
      <c r="H16" s="16"/>
      <c r="I16" s="16"/>
    </row>
    <row r="17" customFormat="false" ht="15" hidden="false" customHeight="false" outlineLevel="0" collapsed="false">
      <c r="B17" s="16"/>
      <c r="C17" s="16"/>
      <c r="D17" s="16"/>
      <c r="E17" s="16"/>
      <c r="F17" s="16"/>
      <c r="G17" s="16"/>
      <c r="H17" s="16"/>
      <c r="I17" s="16"/>
    </row>
    <row r="18" customFormat="false" ht="15" hidden="false" customHeight="false" outlineLevel="0" collapsed="false">
      <c r="B18" s="16"/>
      <c r="C18" s="16"/>
      <c r="D18" s="16"/>
      <c r="E18" s="16"/>
      <c r="F18" s="16"/>
      <c r="G18" s="16"/>
      <c r="H18" s="16"/>
      <c r="I18" s="16"/>
    </row>
    <row r="19" customFormat="false" ht="15" hidden="false" customHeight="false" outlineLevel="0" collapsed="false">
      <c r="B19" s="16"/>
      <c r="C19" s="16"/>
      <c r="D19" s="16"/>
      <c r="E19" s="16"/>
      <c r="F19" s="16"/>
      <c r="G19" s="16"/>
      <c r="H19" s="16"/>
      <c r="I19" s="16"/>
    </row>
    <row r="20" customFormat="false" ht="15" hidden="false" customHeight="false" outlineLevel="0" collapsed="false">
      <c r="B20" s="16"/>
      <c r="C20" s="16"/>
      <c r="D20" s="16"/>
      <c r="E20" s="16"/>
      <c r="F20" s="16"/>
      <c r="G20" s="16"/>
      <c r="H20" s="16"/>
      <c r="I20" s="16"/>
    </row>
    <row r="21" customFormat="false" ht="15" hidden="false" customHeight="false" outlineLevel="0" collapsed="false">
      <c r="B21" s="16"/>
      <c r="C21" s="16"/>
      <c r="D21" s="16"/>
      <c r="E21" s="16"/>
      <c r="F21" s="16"/>
      <c r="G21" s="16"/>
      <c r="H21" s="16"/>
      <c r="I21" s="16"/>
    </row>
    <row r="22" customFormat="false" ht="15" hidden="false" customHeight="false" outlineLevel="0" collapsed="false">
      <c r="B22" s="16"/>
      <c r="C22" s="16"/>
      <c r="D22" s="16"/>
      <c r="E22" s="16"/>
      <c r="F22" s="16"/>
      <c r="G22" s="16"/>
      <c r="H22" s="16"/>
      <c r="I22" s="16"/>
    </row>
    <row r="23" customFormat="false" ht="15" hidden="false" customHeight="false" outlineLevel="0" collapsed="false">
      <c r="B23" s="16"/>
      <c r="C23" s="16"/>
      <c r="D23" s="16"/>
      <c r="E23" s="16"/>
      <c r="F23" s="16"/>
      <c r="G23" s="16"/>
      <c r="H23" s="16"/>
      <c r="I23" s="16"/>
    </row>
    <row r="24" customFormat="false" ht="15" hidden="false" customHeight="false" outlineLevel="0" collapsed="false">
      <c r="B24" s="16"/>
      <c r="C24" s="16"/>
      <c r="D24" s="16"/>
      <c r="E24" s="16"/>
      <c r="F24" s="16"/>
      <c r="G24" s="16"/>
      <c r="H24" s="16"/>
      <c r="I24" s="16"/>
    </row>
    <row r="25" customFormat="false" ht="15" hidden="false" customHeight="false" outlineLevel="0" collapsed="false">
      <c r="B25" s="16"/>
      <c r="C25" s="16"/>
      <c r="D25" s="16"/>
      <c r="E25" s="16"/>
      <c r="F25" s="16"/>
      <c r="G25" s="16"/>
      <c r="H25" s="16"/>
      <c r="I25" s="16"/>
    </row>
    <row r="26" customFormat="false" ht="15" hidden="false" customHeight="false" outlineLevel="0" collapsed="false">
      <c r="B26" s="16"/>
      <c r="C26" s="16"/>
      <c r="D26" s="16"/>
      <c r="E26" s="16"/>
      <c r="F26" s="16"/>
      <c r="G26" s="16"/>
      <c r="H26" s="16"/>
      <c r="I26" s="16"/>
    </row>
    <row r="27" customFormat="false" ht="15" hidden="false" customHeight="false" outlineLevel="0" collapsed="false">
      <c r="B27" s="16"/>
      <c r="C27" s="16"/>
      <c r="D27" s="16"/>
      <c r="E27" s="16"/>
      <c r="F27" s="16"/>
      <c r="G27" s="16"/>
      <c r="H27" s="16"/>
      <c r="I27" s="16"/>
    </row>
    <row r="28" customFormat="false" ht="15" hidden="false" customHeight="false" outlineLevel="0" collapsed="false">
      <c r="B28" s="16"/>
      <c r="C28" s="16"/>
      <c r="D28" s="16"/>
      <c r="E28" s="16"/>
      <c r="F28" s="16"/>
      <c r="G28" s="16"/>
      <c r="H28" s="16"/>
      <c r="I28" s="16"/>
    </row>
    <row r="29" customFormat="false" ht="15" hidden="false" customHeight="false" outlineLevel="0" collapsed="false">
      <c r="B29" s="16"/>
      <c r="C29" s="16"/>
      <c r="D29" s="16"/>
      <c r="E29" s="16"/>
      <c r="F29" s="16"/>
      <c r="G29" s="16"/>
      <c r="H29" s="16"/>
      <c r="I29" s="16"/>
    </row>
    <row r="30" customFormat="false" ht="15" hidden="false" customHeight="false" outlineLevel="0" collapsed="false">
      <c r="B30" s="16"/>
      <c r="C30" s="16"/>
      <c r="D30" s="16"/>
      <c r="E30" s="16"/>
      <c r="F30" s="16"/>
      <c r="G30" s="16"/>
      <c r="H30" s="16"/>
      <c r="I30" s="16"/>
    </row>
    <row r="31" customFormat="false" ht="15" hidden="false" customHeight="false" outlineLevel="0" collapsed="false">
      <c r="B31" s="16"/>
      <c r="C31" s="16"/>
      <c r="D31" s="16"/>
      <c r="E31" s="16"/>
      <c r="F31" s="16"/>
      <c r="G31" s="16"/>
      <c r="H31" s="16"/>
      <c r="I31" s="16"/>
    </row>
    <row r="32" customFormat="false" ht="15" hidden="false" customHeight="false" outlineLevel="0" collapsed="false">
      <c r="B32" s="16"/>
      <c r="C32" s="16"/>
      <c r="D32" s="16"/>
      <c r="E32" s="16"/>
      <c r="F32" s="16"/>
      <c r="G32" s="16"/>
      <c r="H32" s="16"/>
      <c r="I32" s="16"/>
    </row>
    <row r="33" customFormat="false" ht="15" hidden="false" customHeight="false" outlineLevel="0" collapsed="false">
      <c r="B33" s="16"/>
      <c r="C33" s="16"/>
      <c r="D33" s="16"/>
      <c r="E33" s="16"/>
      <c r="F33" s="16"/>
      <c r="G33" s="16"/>
      <c r="H33" s="16"/>
      <c r="I33" s="16"/>
    </row>
    <row r="34" customFormat="false" ht="15" hidden="false" customHeight="false" outlineLevel="0" collapsed="false">
      <c r="B34" s="16"/>
      <c r="C34" s="16"/>
      <c r="D34" s="16"/>
      <c r="E34" s="16"/>
      <c r="F34" s="16"/>
      <c r="G34" s="16"/>
      <c r="H34" s="16"/>
      <c r="I34" s="16"/>
    </row>
    <row r="35" customFormat="false" ht="15" hidden="false" customHeight="false" outlineLevel="0" collapsed="false">
      <c r="B35" s="16"/>
      <c r="C35" s="16"/>
      <c r="D35" s="16"/>
      <c r="E35" s="16"/>
      <c r="F35" s="16"/>
      <c r="G35" s="16"/>
      <c r="H35" s="16"/>
      <c r="I35" s="16"/>
    </row>
    <row r="36" customFormat="false" ht="15" hidden="false" customHeight="false" outlineLevel="0" collapsed="false">
      <c r="B36" s="16"/>
      <c r="C36" s="16"/>
      <c r="D36" s="16"/>
      <c r="E36" s="16"/>
      <c r="F36" s="16"/>
      <c r="G36" s="16"/>
      <c r="H36" s="16"/>
      <c r="I36" s="16"/>
    </row>
    <row r="37" customFormat="false" ht="15" hidden="false" customHeight="false" outlineLevel="0" collapsed="false">
      <c r="B37" s="16"/>
      <c r="C37" s="16"/>
      <c r="D37" s="16"/>
      <c r="E37" s="16"/>
      <c r="F37" s="16"/>
      <c r="G37" s="16"/>
      <c r="H37" s="16"/>
      <c r="I37" s="16"/>
    </row>
    <row r="38" customFormat="false" ht="15" hidden="false" customHeight="false" outlineLevel="0" collapsed="false">
      <c r="B38" s="16"/>
      <c r="C38" s="16"/>
      <c r="D38" s="16"/>
      <c r="E38" s="16"/>
      <c r="F38" s="16"/>
      <c r="G38" s="16"/>
      <c r="H38" s="16"/>
      <c r="I38" s="16"/>
    </row>
    <row r="39" customFormat="false" ht="15" hidden="false" customHeight="false" outlineLevel="0" collapsed="false">
      <c r="B39" s="16"/>
      <c r="C39" s="16"/>
      <c r="D39" s="16"/>
      <c r="E39" s="16"/>
      <c r="F39" s="16"/>
      <c r="G39" s="16"/>
      <c r="H39" s="16"/>
      <c r="I39" s="16"/>
    </row>
    <row r="40" customFormat="false" ht="15" hidden="false" customHeight="false" outlineLevel="0" collapsed="false">
      <c r="B40" s="16"/>
      <c r="C40" s="16"/>
      <c r="D40" s="16"/>
      <c r="E40" s="16"/>
      <c r="F40" s="16"/>
      <c r="G40" s="16"/>
      <c r="H40" s="16"/>
      <c r="I40" s="16"/>
    </row>
    <row r="41" customFormat="false" ht="15" hidden="false" customHeight="false" outlineLevel="0" collapsed="false">
      <c r="B41" s="16"/>
      <c r="C41" s="16"/>
      <c r="D41" s="16"/>
      <c r="E41" s="16"/>
      <c r="F41" s="16"/>
      <c r="G41" s="16"/>
      <c r="H41" s="16"/>
      <c r="I41" s="16"/>
    </row>
    <row r="42" customFormat="false" ht="15" hidden="false" customHeight="false" outlineLevel="0" collapsed="false">
      <c r="B42" s="16"/>
      <c r="C42" s="16"/>
      <c r="D42" s="16"/>
      <c r="E42" s="16"/>
      <c r="F42" s="16"/>
      <c r="G42" s="16"/>
      <c r="H42" s="16"/>
      <c r="I42" s="16"/>
    </row>
    <row r="43" customFormat="false" ht="15" hidden="false" customHeight="false" outlineLevel="0" collapsed="false">
      <c r="B43" s="16"/>
      <c r="C43" s="16"/>
      <c r="D43" s="16"/>
      <c r="E43" s="16"/>
      <c r="F43" s="16"/>
      <c r="G43" s="16"/>
      <c r="H43" s="16"/>
      <c r="I43" s="16"/>
    </row>
    <row r="44" customFormat="false" ht="15" hidden="false" customHeight="false" outlineLevel="0" collapsed="false">
      <c r="B44" s="16"/>
      <c r="C44" s="16"/>
      <c r="D44" s="16"/>
      <c r="E44" s="16"/>
      <c r="F44" s="16"/>
      <c r="G44" s="16"/>
      <c r="H44" s="16"/>
      <c r="I44" s="16"/>
    </row>
  </sheetData>
  <dataValidations count="2">
    <dataValidation allowBlank="true" errorStyle="stop" operator="between" showDropDown="false" showErrorMessage="false" showInputMessage="false" sqref="D5:D44" type="list">
      <formula1>"D1 data,D2 protocol,D3 instrument,D4 engine,D5 presentation,D6 spec"</formula1>
      <formula2>0</formula2>
    </dataValidation>
    <dataValidation allowBlank="true" errorStyle="stop" operator="between" showDropDown="false" showErrorMessage="false" showInputMessage="false" sqref="I5:I44" type="list">
      <formula1>"Open,Fixed,Accepted,Superseded"</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6" min="2" style="0" width="13"/>
  </cols>
  <sheetData>
    <row r="1" customFormat="false" ht="17.35" hidden="false" customHeight="false" outlineLevel="0" collapsed="false">
      <c r="A1" s="1" t="s">
        <v>539</v>
      </c>
    </row>
    <row r="2" customFormat="false" ht="15" hidden="false" customHeight="false" outlineLevel="0" collapsed="false">
      <c r="A2" s="2" t="s">
        <v>540</v>
      </c>
    </row>
    <row r="3" customFormat="false" ht="15" hidden="false" customHeight="false" outlineLevel="0" collapsed="false">
      <c r="A3" s="5" t="s">
        <v>115</v>
      </c>
      <c r="B3" s="5" t="s">
        <v>490</v>
      </c>
      <c r="C3" s="5" t="s">
        <v>492</v>
      </c>
      <c r="D3" s="5" t="s">
        <v>493</v>
      </c>
      <c r="E3" s="5" t="s">
        <v>494</v>
      </c>
      <c r="F3" s="5" t="s">
        <v>495</v>
      </c>
    </row>
    <row r="4" customFormat="false" ht="15" hidden="false" customHeight="false" outlineLevel="0" collapsed="false">
      <c r="A4" s="3" t="s">
        <v>541</v>
      </c>
      <c r="B4" s="3" t="n">
        <f aca="false">Nigeria!$D$66</f>
        <v>2.25</v>
      </c>
      <c r="C4" s="3" t="n">
        <f aca="false">Nigeria!$F$66</f>
        <v>5</v>
      </c>
      <c r="D4" s="3" t="n">
        <f aca="false">Nigeria!$G$66</f>
        <v>5</v>
      </c>
      <c r="E4" s="3" t="n">
        <f aca="false">Nigeria!$H$66</f>
        <v>0</v>
      </c>
      <c r="F4" s="3" t="n">
        <f aca="false">Nigeria!$I$66</f>
        <v>0</v>
      </c>
    </row>
    <row r="5" customFormat="false" ht="15" hidden="false" customHeight="false" outlineLevel="0" collapsed="false">
      <c r="A5" s="3" t="s">
        <v>542</v>
      </c>
      <c r="B5" s="3" t="n">
        <f aca="false">Nigeria!$D$67</f>
        <v>2.83</v>
      </c>
      <c r="C5" s="3" t="n">
        <f aca="false">Nigeria!$F$67</f>
        <v>4</v>
      </c>
      <c r="D5" s="3" t="n">
        <f aca="false">Nigeria!$G$67</f>
        <v>2</v>
      </c>
      <c r="E5" s="3" t="n">
        <f aca="false">Nigeria!$H$67</f>
        <v>0</v>
      </c>
      <c r="F5" s="3" t="n">
        <f aca="false">Nigeria!$I$67</f>
        <v>0</v>
      </c>
    </row>
    <row r="6" customFormat="false" ht="15" hidden="false" customHeight="false" outlineLevel="0" collapsed="false">
      <c r="A6" s="3" t="s">
        <v>543</v>
      </c>
      <c r="B6" s="3" t="n">
        <f aca="false">Nigeria!$D$68</f>
        <v>2.57</v>
      </c>
      <c r="C6" s="3" t="n">
        <f aca="false">Nigeria!$F$68</f>
        <v>1</v>
      </c>
      <c r="D6" s="3" t="n">
        <f aca="false">Nigeria!$G$68</f>
        <v>7</v>
      </c>
      <c r="E6" s="3" t="n">
        <f aca="false">Nigeria!$H$68</f>
        <v>0</v>
      </c>
      <c r="F6" s="3" t="n">
        <f aca="false">Nigeria!$I$68</f>
        <v>0</v>
      </c>
    </row>
    <row r="7" customFormat="false" ht="15" hidden="false" customHeight="false" outlineLevel="0" collapsed="false">
      <c r="A7" s="3" t="s">
        <v>544</v>
      </c>
      <c r="B7" s="3" t="n">
        <f aca="false">Nigeria!$D$69</f>
        <v>2.88</v>
      </c>
      <c r="C7" s="3" t="n">
        <f aca="false">Nigeria!$F$69</f>
        <v>3</v>
      </c>
      <c r="D7" s="3" t="n">
        <f aca="false">Nigeria!$G$69</f>
        <v>5</v>
      </c>
      <c r="E7" s="3" t="n">
        <f aca="false">Nigeria!$H$69</f>
        <v>0</v>
      </c>
      <c r="F7" s="3" t="n">
        <f aca="false">Nigeria!$I$69</f>
        <v>0</v>
      </c>
    </row>
    <row r="8" customFormat="false" ht="15" hidden="false" customHeight="false" outlineLevel="0" collapsed="false">
      <c r="A8" s="3" t="s">
        <v>545</v>
      </c>
      <c r="B8" s="3" t="n">
        <f aca="false">Nigeria!$D$70</f>
        <v>2.5</v>
      </c>
      <c r="C8" s="3" t="n">
        <f aca="false">Nigeria!$F$70</f>
        <v>2</v>
      </c>
      <c r="D8" s="3" t="n">
        <f aca="false">Nigeria!$G$70</f>
        <v>4</v>
      </c>
      <c r="E8" s="3" t="n">
        <f aca="false">Nigeria!$H$70</f>
        <v>0</v>
      </c>
      <c r="F8" s="3" t="n">
        <f aca="false">Nigeria!$I$70</f>
        <v>1</v>
      </c>
    </row>
    <row r="9" customFormat="false" ht="15" hidden="false" customHeight="false" outlineLevel="0" collapsed="false">
      <c r="A9" s="3" t="s">
        <v>546</v>
      </c>
      <c r="B9" s="3" t="n">
        <f aca="false">Nigeria!$D$71</f>
        <v>2.56</v>
      </c>
      <c r="C9" s="3" t="n">
        <f aca="false">Nigeria!$F$71</f>
        <v>1</v>
      </c>
      <c r="D9" s="3" t="n">
        <f aca="false">Nigeria!$G$71</f>
        <v>8</v>
      </c>
      <c r="E9" s="3" t="n">
        <f aca="false">Nigeria!$H$71</f>
        <v>1</v>
      </c>
      <c r="F9" s="3" t="n">
        <f aca="false">Nigeria!$I$71</f>
        <v>1</v>
      </c>
    </row>
    <row r="10" customFormat="false" ht="15" hidden="false" customHeight="false" outlineLevel="0" collapsed="false">
      <c r="A10" s="3" t="s">
        <v>547</v>
      </c>
      <c r="B10" s="3" t="n">
        <f aca="false">Nigeria!$D$72</f>
        <v>3.25</v>
      </c>
      <c r="C10" s="3" t="n">
        <f aca="false">Nigeria!$F$72</f>
        <v>3</v>
      </c>
      <c r="D10" s="3" t="n">
        <f aca="false">Nigeria!$G$72</f>
        <v>2</v>
      </c>
      <c r="E10" s="3" t="n">
        <f aca="false">Nigeria!$H$72</f>
        <v>0</v>
      </c>
      <c r="F10" s="3" t="n">
        <f aca="false">Nigeria!$I$72</f>
        <v>2</v>
      </c>
    </row>
    <row r="12" customFormat="false" ht="15" hidden="false" customHeight="false" outlineLevel="0" collapsed="false">
      <c r="A12" s="5" t="s">
        <v>116</v>
      </c>
      <c r="B12" s="5" t="s">
        <v>490</v>
      </c>
    </row>
    <row r="13" customFormat="false" ht="15" hidden="false" customHeight="false" outlineLevel="0" collapsed="false">
      <c r="A13" s="3" t="s">
        <v>141</v>
      </c>
      <c r="B13" s="3" t="n">
        <f aca="false">Nigeria!$B$76</f>
        <v>2.5</v>
      </c>
    </row>
    <row r="14" customFormat="false" ht="15" hidden="false" customHeight="false" outlineLevel="0" collapsed="false">
      <c r="A14" s="3" t="s">
        <v>235</v>
      </c>
      <c r="B14" s="3" t="n">
        <f aca="false">Nigeria!$B$77</f>
        <v>2.62</v>
      </c>
    </row>
    <row r="15" customFormat="false" ht="15" hidden="false" customHeight="false" outlineLevel="0" collapsed="false">
      <c r="A15" s="3" t="s">
        <v>388</v>
      </c>
      <c r="B15" s="3" t="n">
        <f aca="false">Nigeria!$B$78</f>
        <v>2.71</v>
      </c>
    </row>
    <row r="16" customFormat="false" ht="15" hidden="false" customHeight="false" outlineLevel="0" collapsed="false">
      <c r="A16" s="3" t="s">
        <v>450</v>
      </c>
      <c r="B16" s="3" t="n">
        <f aca="false">Nigeria!$B$79</f>
        <v>3.25</v>
      </c>
    </row>
    <row r="18" customFormat="false" ht="15" hidden="false" customHeight="false" outlineLevel="0" collapsed="false">
      <c r="A18" s="5" t="s">
        <v>69</v>
      </c>
      <c r="B18" s="5" t="s">
        <v>548</v>
      </c>
    </row>
    <row r="19" customFormat="false" ht="15" hidden="false" customHeight="false" outlineLevel="0" collapsed="false">
      <c r="A19" s="3" t="s">
        <v>549</v>
      </c>
      <c r="B19" s="3" t="n">
        <f aca="false">COUNTIF(Nigeria!$T$5:$T$61,1)</f>
        <v>8</v>
      </c>
    </row>
    <row r="20" customFormat="false" ht="15" hidden="false" customHeight="false" outlineLevel="0" collapsed="false">
      <c r="A20" s="3" t="s">
        <v>550</v>
      </c>
      <c r="B20" s="3" t="n">
        <f aca="false">COUNTIF(Nigeria!$T$5:$T$61,2)</f>
        <v>9</v>
      </c>
    </row>
    <row r="21" customFormat="false" ht="15" hidden="false" customHeight="false" outlineLevel="0" collapsed="false">
      <c r="A21" s="3" t="s">
        <v>551</v>
      </c>
      <c r="B21" s="3" t="n">
        <f aca="false">COUNTIF(Nigeria!$T$5:$T$61,3)</f>
        <v>21</v>
      </c>
    </row>
    <row r="22" customFormat="false" ht="15" hidden="false" customHeight="false" outlineLevel="0" collapsed="false">
      <c r="A22" s="3" t="s">
        <v>552</v>
      </c>
      <c r="B22" s="3" t="n">
        <f aca="false">COUNTIF(Nigeria!$T$5:$T$61,4)</f>
        <v>7</v>
      </c>
    </row>
    <row r="23" customFormat="false" ht="15" hidden="false" customHeight="false" outlineLevel="0" collapsed="false">
      <c r="A23" s="3" t="s">
        <v>553</v>
      </c>
      <c r="B23" s="3" t="n">
        <f aca="false">COUNTIF(Nigeria!$T$5:$T$61,5)</f>
        <v>1</v>
      </c>
    </row>
    <row r="25" customFormat="false" ht="15" hidden="false" customHeight="false" outlineLevel="0" collapsed="false">
      <c r="A25" s="5" t="s">
        <v>127</v>
      </c>
      <c r="B25" s="5" t="s">
        <v>554</v>
      </c>
    </row>
    <row r="26" customFormat="false" ht="15" hidden="false" customHeight="false" outlineLevel="0" collapsed="false">
      <c r="A26" s="3" t="s">
        <v>555</v>
      </c>
      <c r="B26" s="3" t="n">
        <f aca="false">SUMPRODUCT((Nigeria!$Q$5:$Q$61=2011)*(Nigeria!$S$5:$S$61&lt;&gt;"Gap"))</f>
        <v>1</v>
      </c>
    </row>
    <row r="27" customFormat="false" ht="15" hidden="false" customHeight="false" outlineLevel="0" collapsed="false">
      <c r="A27" s="3" t="s">
        <v>556</v>
      </c>
      <c r="B27" s="3" t="n">
        <f aca="false">SUMPRODUCT((Nigeria!$Q$5:$Q$61=2013)*(Nigeria!$S$5:$S$61&lt;&gt;"Gap"))</f>
        <v>2</v>
      </c>
    </row>
    <row r="28" customFormat="false" ht="15" hidden="false" customHeight="false" outlineLevel="0" collapsed="false">
      <c r="A28" s="3" t="s">
        <v>557</v>
      </c>
      <c r="B28" s="3" t="n">
        <f aca="false">SUMPRODUCT((Nigeria!$Q$5:$Q$61=2017)*(Nigeria!$S$5:$S$61&lt;&gt;"Gap"))</f>
        <v>0</v>
      </c>
    </row>
    <row r="29" customFormat="false" ht="15" hidden="false" customHeight="false" outlineLevel="0" collapsed="false">
      <c r="A29" s="3" t="s">
        <v>558</v>
      </c>
      <c r="B29" s="3" t="n">
        <f aca="false">SUMPRODUCT((Nigeria!$Q$5:$Q$61=2019)*(Nigeria!$S$5:$S$61&lt;&gt;"Gap"))</f>
        <v>2</v>
      </c>
    </row>
    <row r="30" customFormat="false" ht="15" hidden="false" customHeight="false" outlineLevel="0" collapsed="false">
      <c r="A30" s="3" t="s">
        <v>559</v>
      </c>
      <c r="B30" s="3" t="n">
        <f aca="false">SUMPRODUCT((Nigeria!$Q$5:$Q$61=2021)*(Nigeria!$S$5:$S$61&lt;&gt;"Gap"))</f>
        <v>2</v>
      </c>
    </row>
    <row r="31" customFormat="false" ht="15" hidden="false" customHeight="false" outlineLevel="0" collapsed="false">
      <c r="A31" s="3" t="s">
        <v>560</v>
      </c>
      <c r="B31" s="3" t="n">
        <f aca="false">SUMPRODUCT((Nigeria!$Q$5:$Q$61=2022)*(Nigeria!$S$5:$S$61&lt;&gt;"Gap"))</f>
        <v>4</v>
      </c>
    </row>
    <row r="32" customFormat="false" ht="15" hidden="false" customHeight="false" outlineLevel="0" collapsed="false">
      <c r="A32" s="3" t="s">
        <v>561</v>
      </c>
      <c r="B32" s="3" t="n">
        <f aca="false">SUMPRODUCT((Nigeria!$Q$5:$Q$61=2023)*(Nigeria!$S$5:$S$61&lt;&gt;"Gap"))</f>
        <v>1</v>
      </c>
    </row>
    <row r="33" customFormat="false" ht="15" hidden="false" customHeight="false" outlineLevel="0" collapsed="false">
      <c r="A33" s="3" t="s">
        <v>562</v>
      </c>
      <c r="B33" s="3" t="n">
        <f aca="false">SUMPRODUCT((Nigeria!$Q$5:$Q$61=2024)*(Nigeria!$S$5:$S$61&lt;&gt;"Gap"))</f>
        <v>18</v>
      </c>
    </row>
    <row r="34" customFormat="false" ht="15" hidden="false" customHeight="false" outlineLevel="0" collapsed="false">
      <c r="A34" s="3" t="s">
        <v>563</v>
      </c>
      <c r="B34" s="3" t="n">
        <f aca="false">SUMPRODUCT((Nigeria!$Q$5:$Q$61=2025)*(Nigeria!$S$5:$S$61&lt;&gt;"Gap"))</f>
        <v>9</v>
      </c>
    </row>
    <row r="35" customFormat="false" ht="15" hidden="false" customHeight="false" outlineLevel="0" collapsed="false">
      <c r="A35" s="3" t="s">
        <v>564</v>
      </c>
      <c r="B35" s="3" t="n">
        <f aca="false">SUMPRODUCT((Nigeria!$Q$5:$Q$61=2026)*(Nigeria!$S$5:$S$61&lt;&gt;"Gap"))</f>
        <v>14</v>
      </c>
    </row>
    <row r="37" customFormat="false" ht="15" hidden="false" customHeight="false" outlineLevel="0" collapsed="false">
      <c r="A37" s="2" t="s">
        <v>565</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LibreOffice/26.2.3.2$MacOSX_AARCH64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2026-08-24T18:10:54Z</dcterms:created>
  <dc:creator>openpyxl</dc:creator>
  <dc:description/>
  <dc:language>en-US</dc:language>
  <cp:lastModifiedBy/>
  <dcterms:modified xsi:type="dcterms:W3CDTF">2026-08-25T01:10:58Z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