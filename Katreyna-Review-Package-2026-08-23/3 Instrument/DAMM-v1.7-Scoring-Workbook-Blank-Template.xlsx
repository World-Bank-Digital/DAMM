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fig" sheetId="2" state="visible" r:id="rId4"/>
    <sheet name="Ladder" sheetId="3" state="visible" r:id="rId5"/>
    <sheet name="Tiers" sheetId="4" state="visible" r:id="rId6"/>
    <sheet name="Scoring" sheetId="5" state="visible" r:id="rId7"/>
    <sheet name="Issues" sheetId="6" state="visible" r:id="rId8"/>
    <sheet name="Visuals" sheetId="7" state="visible" r:id="rId9"/>
  </sheets>
  <definedNames>
    <definedName function="false" hidden="false" localSheetId="1" name="_xlnm.Print_Area" vbProcedure="false">Config!$B$1:$D$13</definedName>
    <definedName function="false" hidden="false" localSheetId="5" name="_xlnm.Print_Area" vbProcedure="false">Issues!$B$1:$I$44</definedName>
    <definedName function="false" hidden="false" localSheetId="5" name="_xlnm.Print_Titles" vbProcedure="false">Issues!$4:$4</definedName>
    <definedName function="false" hidden="false" localSheetId="2" name="_xlnm.Print_Area" vbProcedure="false">Ladder!$B$1:$D$11</definedName>
    <definedName function="false" hidden="false" localSheetId="0" name="_xlnm.Print_Area" vbProcedure="false">'Read Me'!$B$1:$H$32</definedName>
    <definedName function="false" hidden="false" localSheetId="4" name="_xlnm.Print_Area" vbProcedure="false">Scoring!$A$1:$U$107</definedName>
    <definedName function="false" hidden="false" localSheetId="4" name="_xlnm.Print_Titles" vbProcedure="false">Scoring!$4:$4</definedName>
    <definedName function="false" hidden="false" localSheetId="3" name="_xlnm.Print_Area" vbProcedure="false">Tiers!$B$1:$E$14</definedName>
    <definedName function="false" hidden="false" localSheetId="6" name="_xlnm.Print_Area" vbProcedure="false">Visuals!$A$1:$AB$56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<sst xmlns="http://schemas.openxmlformats.org/spreadsheetml/2006/main" count="652" uniqueCount="374">
  <si>
    <t xml:space="preserve">DAMM v1.7 — Scoring Workbook</t>
  </si>
  <si>
    <t xml:space="preserve">Digital Agriculture Maturity Model · draft for review · August 2026</t>
  </si>
  <si>
    <t xml:space="preserve">This file is the blank template. Copy it once per country and rename the scoring sheet.</t>
  </si>
  <si>
    <t xml:space="preserve">The four steps</t>
  </si>
  <si>
    <t xml:space="preserve">1 · ASSEMBLE</t>
  </si>
  <si>
    <t xml:space="preserve">Fill the six yellow columns on the scoring sheet: Value, Source, Source URL, Tier, Year, Assessor level. Every indicator gets a value, a source and a year — or a recorded gap. No level may exist without a recorded value.</t>
  </si>
  <si>
    <t xml:space="preserve">2 · DERIVE</t>
  </si>
  <si>
    <t xml:space="preserve">Automatic. Evidence class, level, staleness, pillar bands, the layer profile, prerequisite status and the use-case matrix all compute by formula. Nothing here is typed.</t>
  </si>
  <si>
    <t xml:space="preserve">3 · REPORT</t>
  </si>
  <si>
    <t xml:space="preserve">The diagnostic report renders from this workbook. It is the deliverable; this file is the instrument behind it.</t>
  </si>
  <si>
    <t xml:space="preserve">4 · USE</t>
  </si>
  <si>
    <t xml:space="preserve">The task team leader takes the report into roadmap preparation, closes the verify list on mission, and executes the refresh list.</t>
  </si>
  <si>
    <t xml:space="preserve">What to type, and where</t>
  </si>
  <si>
    <t xml:space="preserve">Yellow cells, blue text</t>
  </si>
  <si>
    <t xml:space="preserve">The only cells an assessor edits: Value, Source, Source URL, Tier, Year, Assessor level (columns M–R of the scoring sheet).</t>
  </si>
  <si>
    <t xml:space="preserve">Everything else</t>
  </si>
  <si>
    <t xml:space="preserve">Model reference or derived by formula. Do not overwrite: a typed level that contradicts its value is the defect this model exists to prevent.</t>
  </si>
  <si>
    <t xml:space="preserve">Value</t>
  </si>
  <si>
    <t xml:space="preserve">A number, a citation ("NDPA 2023 in force; NDPC enforcing"), or a recorded gap beginning DATA GAP — followed by the sources actually searched.</t>
  </si>
  <si>
    <t xml:space="preserve">Tier</t>
  </si>
  <si>
    <t xml:space="preserve">T1–T5 per the Tiers sheet. Reported, never weighted. Machine-fetched rows arrive with the tier already filled by the pipeline.</t>
  </si>
  <si>
    <t xml:space="preserve">Assessor level</t>
  </si>
  <si>
    <t xml:space="preserve">1–5, for ladder indicators only. Threshold indicators score themselves from the value.</t>
  </si>
  <si>
    <t xml:space="preserve">Quality control — gate sign-off</t>
  </si>
  <si>
    <t xml:space="preserve">Automated checks run at render time and block the report on failure. The three human gates are recorded here (QC Protocol).</t>
  </si>
  <si>
    <t xml:space="preserve">Gate</t>
  </si>
  <si>
    <t xml:space="preserve">What it certifies</t>
  </si>
  <si>
    <t xml:space="preserve">Name</t>
  </si>
  <si>
    <t xml:space="preserve">Date</t>
  </si>
  <si>
    <t xml:space="preserve">Note</t>
  </si>
  <si>
    <t xml:space="preserve">G1</t>
  </si>
  <si>
    <t xml:space="preserve">Assessor has confirmed every machine-filled row: value, source, year, tier; every recorded gap accepted or re-searched.</t>
  </si>
  <si>
    <t xml:space="preserve">G2</t>
  </si>
  <si>
    <t xml:space="preserve">A second reviewer has re-checked 100% of prerequisite rows and 100% of judged rows, plus a 15% sample of the remainder.</t>
  </si>
  <si>
    <t xml:space="preserve">G3</t>
  </si>
  <si>
    <t xml:space="preserve">Task team leader sign-off against the four prohibitions, before anything leaves the team.</t>
  </si>
  <si>
    <t xml:space="preserve">The four prohibitions</t>
  </si>
  <si>
    <t xml:space="preserve">· No cross-country ranking.</t>
  </si>
  <si>
    <t xml:space="preserve">· No band used as a project development objective, disbursement-linked indicator, or disbursement condition.</t>
  </si>
  <si>
    <t xml:space="preserve">· No automatic financing decisions.</t>
  </si>
  <si>
    <t xml:space="preserve">· No public claim before human review.</t>
  </si>
  <si>
    <t xml:space="preserve">Config — every constant with its meaning</t>
  </si>
  <si>
    <t xml:space="preserve">Assessment year</t>
  </si>
  <si>
    <t xml:space="preserve">ENTRY (yellow). Staleness is measured against this year.</t>
  </si>
  <si>
    <t xml:space="preserve">Staleness limit (years)</t>
  </si>
  <si>
    <t xml:space="preserve">A reading older than this is flagged STALE. One rule for all indicators.</t>
  </si>
  <si>
    <t xml:space="preserve">Readiness threshold</t>
  </si>
  <si>
    <t xml:space="preserve">A use-case column whose bearing indicators average below this reads Partial.</t>
  </si>
  <si>
    <t xml:space="preserve">Leapfrog threshold</t>
  </si>
  <si>
    <t xml:space="preserve">|mean(Foundation) − mean(Transformation)| above this raises a structural flag.</t>
  </si>
  <si>
    <t xml:space="preserve">Band: Nascent</t>
  </si>
  <si>
    <t xml:space="preserve">1.0 – &lt;1.8</t>
  </si>
  <si>
    <t xml:space="preserve">Half-open bands; a pillar band in parentheses means judged, gap and held rows outnumber the levelled measured and documented ones.</t>
  </si>
  <si>
    <t xml:space="preserve">Band: Emerging</t>
  </si>
  <si>
    <t xml:space="preserve">1.8 – &lt;2.6</t>
  </si>
  <si>
    <t xml:space="preserve">Band: Established</t>
  </si>
  <si>
    <t xml:space="preserve">2.6 – &lt;3.4</t>
  </si>
  <si>
    <t xml:space="preserve">Band: Advanced</t>
  </si>
  <si>
    <t xml:space="preserve">3.4 – &lt;4.2</t>
  </si>
  <si>
    <t xml:space="preserve">Band: Transformative</t>
  </si>
  <si>
    <t xml:space="preserve">4.2 – 5.0</t>
  </si>
  <si>
    <t xml:space="preserve">Universal prerequisites</t>
  </si>
  <si>
    <t xml:space="preserve">2.1, 2.9, 4.1</t>
  </si>
  <si>
    <t xml:space="preserve">Absence blocks every use-case column. A universal prerequisite at Present (narrow) caps every column at Partial.</t>
  </si>
  <si>
    <t xml:space="preserve">AI-enabled services</t>
  </si>
  <si>
    <t xml:space="preserve">7.12 binds AGI</t>
  </si>
  <si>
    <t xml:space="preserve">Ruling pending ratification: the consent-and-rights prerequisite binds the agricultural-intelligence column.</t>
  </si>
  <si>
    <t xml:space="preserve">The shared ladder — scoring an indicator that is not a measurement</t>
  </si>
  <si>
    <t xml:space="preserve">Ask in stages: presence first, then quality, then scale. Stop at the first rung the evidence does not support.</t>
  </si>
  <si>
    <t xml:space="preserve">Level</t>
  </si>
  <si>
    <t xml:space="preserve">Condition</t>
  </si>
  <si>
    <t xml:space="preserve">Evidence required</t>
  </si>
  <si>
    <t xml:space="preserve">Absent</t>
  </si>
  <si>
    <t xml:space="preserve">The search that established absence: sources consulted, in order.</t>
  </si>
  <si>
    <t xml:space="preserve">Announced</t>
  </si>
  <si>
    <t xml:space="preserve">The announcement, draft or commitment, cited.</t>
  </si>
  <si>
    <t xml:space="preserve">Adopted, or operating narrowly</t>
  </si>
  <si>
    <t xml:space="preserve">The instrument or system itself, with its adoption date or its operating footprint.</t>
  </si>
  <si>
    <t xml:space="preserve">Operating with quality</t>
  </si>
  <si>
    <t xml:space="preserve">Governance, funding and institutionalisation — the evidence that it is run, not just live.</t>
  </si>
  <si>
    <t xml:space="preserve">Operating at scale, with evidence of use</t>
  </si>
  <si>
    <t xml:space="preserve">Coverage or reach in the indicator's own unit, from a source that is not the operator's own claim.</t>
  </si>
  <si>
    <t xml:space="preserve">A scale figure reported only by the operator of the service does not carry rung 5.</t>
  </si>
  <si>
    <t xml:space="preserve">Source tiers — what may carry what</t>
  </si>
  <si>
    <t xml:space="preserve">Tiers are reported beside the evidence class and never weighted. Search in tier order and stop when found; a dead end is recorded as a gap with its trail.</t>
  </si>
  <si>
    <t xml:space="preserve">What it is</t>
  </si>
  <si>
    <t xml:space="preserve">Typical sources</t>
  </si>
  <si>
    <t xml:space="preserve">Admissible for</t>
  </si>
  <si>
    <t xml:space="preserve">T1</t>
  </si>
  <si>
    <t xml:space="preserve">Official statistics &amp; international databases</t>
  </si>
  <si>
    <t xml:space="preserve">FAOSTAT · AQUASTAT · World Bank WDI/ID4D/Findex · ITU · UN DESA · national statistical offices</t>
  </si>
  <si>
    <t xml:space="preserve">Any claim. The default for every number.</t>
  </si>
  <si>
    <t xml:space="preserve">T2</t>
  </si>
  <si>
    <t xml:space="preserve">Peer-reviewed literature &amp; IO flagship reports</t>
  </si>
  <si>
    <t xml:space="preserve">Journals · systematic reviews · World Bank / FAO / IFPRI / CGIAR flagships · evaluated impact studies</t>
  </si>
  <si>
    <t xml:space="preserve">Any claim. Required for impact and effectiveness claims.</t>
  </si>
  <si>
    <t xml:space="preserve">T3</t>
  </si>
  <si>
    <t xml:space="preserve">Government legal, policy &amp; budget artefacts</t>
  </si>
  <si>
    <t xml:space="preserve">Gazetted laws · adopted strategies · budgets · regulator reports · official programme pages</t>
  </si>
  <si>
    <t xml:space="preserve">Presence facts, policy intent, programme design — not outcomes.</t>
  </si>
  <si>
    <t xml:space="preserve">T4</t>
  </si>
  <si>
    <t xml:space="preserve">Reputable grey literature</t>
  </si>
  <si>
    <t xml:space="preserve">GSMA · GIZ · USAID · AGRA · AfDB · donor evaluations · established industry analyses</t>
  </si>
  <si>
    <t xml:space="preserve">Context and sector narrative, flagged as T4; presence facts where T3 is silent.</t>
  </si>
  <si>
    <t xml:space="preserve">T5</t>
  </si>
  <si>
    <t xml:space="preserve">News, vendor &amp; market material</t>
  </si>
  <si>
    <t xml:space="preserve">Press · company sites · market-research releases · blogs</t>
  </si>
  <si>
    <t xml:space="preserve">Initiative register only, existence facts only. A T5-only citation derives the class Judged, never Documented.</t>
  </si>
  <si>
    <t xml:space="preserve">· Every citation is a deep link to the document, with an access date. A link that resolves only to a domain root is not a citation.</t>
  </si>
  <si>
    <t xml:space="preserve">· A load-bearing number needs two independent T1–T2 confirmations, or it ships flagged single-source.</t>
  </si>
  <si>
    <t xml:space="preserve">· Vintage beats tier at the margin for narrative; the scored row still records the official figure and its staleness honestly.</t>
  </si>
  <si>
    <t xml:space="preserve">Country — DAMM v1.7 assessment</t>
  </si>
  <si>
    <t xml:space="preserve">Edit only the yellow columns (M–R). Everything else is model reference or derived by formula.</t>
  </si>
  <si>
    <t xml:space="preserve">ID</t>
  </si>
  <si>
    <t xml:space="preserve">Indicator</t>
  </si>
  <si>
    <t xml:space="preserve">Pillar</t>
  </si>
  <si>
    <t xml:space="preserve">Layer</t>
  </si>
  <si>
    <t xml:space="preserve">Use cases</t>
  </si>
  <si>
    <t xml:space="preserve">Prereq</t>
  </si>
  <si>
    <t xml:space="preserve">Meth</t>
  </si>
  <si>
    <t xml:space="preserve">Dir</t>
  </si>
  <si>
    <t xml:space="preserve">L2</t>
  </si>
  <si>
    <t xml:space="preserve">L3</t>
  </si>
  <si>
    <t xml:space="preserve">L4</t>
  </si>
  <si>
    <t xml:space="preserve">L5</t>
  </si>
  <si>
    <t xml:space="preserve">Source</t>
  </si>
  <si>
    <t xml:space="preserve">Source URL</t>
  </si>
  <si>
    <t xml:space="preserve">Year</t>
  </si>
  <si>
    <t xml:space="preserve">Class</t>
  </si>
  <si>
    <t xml:space="preserve">Stale</t>
  </si>
  <si>
    <t xml:space="preserve">b_ADV</t>
  </si>
  <si>
    <t xml:space="preserve">b_SMF</t>
  </si>
  <si>
    <t xml:space="preserve">b_MKT</t>
  </si>
  <si>
    <t xml:space="preserve">b_SCM</t>
  </si>
  <si>
    <t xml:space="preserve">b_FIN</t>
  </si>
  <si>
    <t xml:space="preserve">b_AGI</t>
  </si>
  <si>
    <t xml:space="preserve">Open definition question (for ratification)</t>
  </si>
  <si>
    <t xml:space="preserve">Ratification hold</t>
  </si>
  <si>
    <t xml:space="preserve">1.1</t>
  </si>
  <si>
    <t xml:space="preserve">Agriculture value added per worker (USD)</t>
  </si>
  <si>
    <t xml:space="preserve">A1</t>
  </si>
  <si>
    <t xml:space="preserve">Foundation</t>
  </si>
  <si>
    <t xml:space="preserve">NEED</t>
  </si>
  <si>
    <t xml:space="preserve">T</t>
  </si>
  <si>
    <t xml:space="preserve">H</t>
  </si>
  <si>
    <t xml:space="preserve">1.2</t>
  </si>
  <si>
    <t xml:space="preserve">Cereal yield (kg/ha)</t>
  </si>
  <si>
    <t xml:space="preserve">1.3</t>
  </si>
  <si>
    <t xml:space="preserve">Employment in agriculture (%)</t>
  </si>
  <si>
    <t xml:space="preserve">L</t>
  </si>
  <si>
    <t xml:space="preserve">1.4</t>
  </si>
  <si>
    <t xml:space="preserve">Food production index (2014-16=100)</t>
  </si>
  <si>
    <t xml:space="preserve">1.5</t>
  </si>
  <si>
    <t xml:space="preserve">Post-harvest loss rate (%)</t>
  </si>
  <si>
    <t xml:space="preserve">1.6</t>
  </si>
  <si>
    <t xml:space="preserve">Smallholder access to formal markets (%)</t>
  </si>
  <si>
    <t xml:space="preserve">NEED,MKT</t>
  </si>
  <si>
    <t xml:space="preserve">1.7</t>
  </si>
  <si>
    <t xml:space="preserve">Agricultural credit access (% farmers)</t>
  </si>
  <si>
    <t xml:space="preserve">NEED,FIN</t>
  </si>
  <si>
    <t xml:space="preserve">1.8</t>
  </si>
  <si>
    <t xml:space="preserve">Farmers using climate-smart practices (%)</t>
  </si>
  <si>
    <t xml:space="preserve">NEED,ADV</t>
  </si>
  <si>
    <t xml:space="preserve">8.1</t>
  </si>
  <si>
    <t xml:space="preserve">Prevalence of undernourishment (%)</t>
  </si>
  <si>
    <t xml:space="preserve">8.5</t>
  </si>
  <si>
    <t xml:space="preserve">Women who own land (% holders)</t>
  </si>
  <si>
    <t xml:space="preserve">NEED,EQ</t>
  </si>
  <si>
    <t xml:space="preserve">2.1</t>
  </si>
  <si>
    <t xml:space="preserve">Rural mobile broadband coverage (3G/4G)</t>
  </si>
  <si>
    <t xml:space="preserve">C1</t>
  </si>
  <si>
    <t xml:space="preserve">ALL</t>
  </si>
  <si>
    <t xml:space="preserve">UNIVERSAL</t>
  </si>
  <si>
    <t xml:space="preserve">2.4</t>
  </si>
  <si>
    <t xml:space="preserve">Individuals using the Internet (%)</t>
  </si>
  <si>
    <t xml:space="preserve">2.5</t>
  </si>
  <si>
    <t xml:space="preserve">Mobile broadband price (% GNI pc)</t>
  </si>
  <si>
    <t xml:space="preserve">2.7</t>
  </si>
  <si>
    <t xml:space="preserve">Rural smartphone ownership (%)</t>
  </si>
  <si>
    <t xml:space="preserve">2.9</t>
  </si>
  <si>
    <t xml:space="preserve">Rural electricity access (%)</t>
  </si>
  <si>
    <t xml:space="preserve">2.11</t>
  </si>
  <si>
    <t xml:space="preserve">Device financing/subsidy schemes</t>
  </si>
  <si>
    <t xml:space="preserve">3.1</t>
  </si>
  <si>
    <t xml:space="preserve">UN E-Government Development Index</t>
  </si>
  <si>
    <t xml:space="preserve">C2</t>
  </si>
  <si>
    <t xml:space="preserve">Enablers</t>
  </si>
  <si>
    <t xml:space="preserve">AGI,ALL</t>
  </si>
  <si>
    <t xml:space="preserve">3.3</t>
  </si>
  <si>
    <t xml:space="preserve">National farmer registry</t>
  </si>
  <si>
    <t xml:space="preserve">FIN,AGI,ADV</t>
  </si>
  <si>
    <t xml:space="preserve">UC:FIN,AGI</t>
  </si>
  <si>
    <t xml:space="preserve">3.4</t>
  </si>
  <si>
    <t xml:space="preserve">Digital land/plot registration</t>
  </si>
  <si>
    <t xml:space="preserve">FIN,AGI</t>
  </si>
  <si>
    <t xml:space="preserve">3.5</t>
  </si>
  <si>
    <t xml:space="preserve">Open agricultural data (machine-readable, AI-ready)</t>
  </si>
  <si>
    <t xml:space="preserve">AGI,ADV,SMF</t>
  </si>
  <si>
    <t xml:space="preserve">3.6</t>
  </si>
  <si>
    <t xml:space="preserve">Weather/climate data infrastructure</t>
  </si>
  <si>
    <t xml:space="preserve">ADV,SMF,AGI</t>
  </si>
  <si>
    <t xml:space="preserve">3.7</t>
  </si>
  <si>
    <t xml:space="preserve">Satellite/EO data integration</t>
  </si>
  <si>
    <t xml:space="preserve">AGI,SMF</t>
  </si>
  <si>
    <t xml:space="preserve">3.8</t>
  </si>
  <si>
    <t xml:space="preserve">National soil map/database</t>
  </si>
  <si>
    <t xml:space="preserve">ADV,SMF</t>
  </si>
  <si>
    <t xml:space="preserve">3.11</t>
  </si>
  <si>
    <t xml:space="preserve">Agricultural data interoperability standards</t>
  </si>
  <si>
    <t xml:space="preserve">UC:AGI</t>
  </si>
  <si>
    <t xml:space="preserve">4.1</t>
  </si>
  <si>
    <t xml:space="preserve">Data protection/privacy law</t>
  </si>
  <si>
    <t xml:space="preserve">C3</t>
  </si>
  <si>
    <t xml:space="preserve">4.2</t>
  </si>
  <si>
    <t xml:space="preserve">Cybersecurity framework (ITU GCI)</t>
  </si>
  <si>
    <t xml:space="preserve">4.3</t>
  </si>
  <si>
    <t xml:space="preserve">Government AI Readiness Index</t>
  </si>
  <si>
    <t xml:space="preserve">4.4</t>
  </si>
  <si>
    <t xml:space="preserve">National digital agriculture strategy</t>
  </si>
  <si>
    <t xml:space="preserve">4.5</t>
  </si>
  <si>
    <t xml:space="preserve">Agricultural data governance framework</t>
  </si>
  <si>
    <t xml:space="preserve">AGI,FIN</t>
  </si>
  <si>
    <t xml:space="preserve">4.6</t>
  </si>
  <si>
    <t xml:space="preserve">National AI strategy with agriculture component</t>
  </si>
  <si>
    <t xml:space="preserve">4.7</t>
  </si>
  <si>
    <t xml:space="preserve">Digital ID coverage (%)</t>
  </si>
  <si>
    <t xml:space="preserve">FIN,ALL</t>
  </si>
  <si>
    <t xml:space="preserve">UC:FIN</t>
  </si>
  <si>
    <t xml:space="preserve">4.9</t>
  </si>
  <si>
    <t xml:space="preserve">Inter-ministerial coordination mechanism</t>
  </si>
  <si>
    <t xml:space="preserve">DELIVERY</t>
  </si>
  <si>
    <t xml:space="preserve">5.2</t>
  </si>
  <si>
    <t xml:space="preserve">Adult literacy rate (%)</t>
  </si>
  <si>
    <t xml:space="preserve">C4</t>
  </si>
  <si>
    <t xml:space="preserve">5.3</t>
  </si>
  <si>
    <t xml:space="preserve">Tertiary STEM enrollment (% gross)</t>
  </si>
  <si>
    <t xml:space="preserve">5.4</t>
  </si>
  <si>
    <t xml:space="preserve">Digital literacy among farmers (%)</t>
  </si>
  <si>
    <t xml:space="preserve">5.5</t>
  </si>
  <si>
    <t xml:space="preserve">Digital extension capability</t>
  </si>
  <si>
    <t xml:space="preserve">ADV</t>
  </si>
  <si>
    <t xml:space="preserve">UC:ADV</t>
  </si>
  <si>
    <t xml:space="preserve">5.7</t>
  </si>
  <si>
    <t xml:space="preserve">MoAg digital/AI unit</t>
  </si>
  <si>
    <t xml:space="preserve">5.8</t>
  </si>
  <si>
    <t xml:space="preserve">Agtech/data-science training pipeline</t>
  </si>
  <si>
    <t xml:space="preserve">5.12</t>
  </si>
  <si>
    <t xml:space="preserve">Gender balance in digital-ag workforce (%)</t>
  </si>
  <si>
    <t xml:space="preserve">EQ,ADV</t>
  </si>
  <si>
    <t xml:space="preserve">6.1</t>
  </si>
  <si>
    <t xml:space="preserve">Global Innovation Index</t>
  </si>
  <si>
    <t xml:space="preserve">E1</t>
  </si>
  <si>
    <t xml:space="preserve">6.3</t>
  </si>
  <si>
    <t xml:space="preserve">Business Ready (B-READY)</t>
  </si>
  <si>
    <t xml:space="preserve">6.4</t>
  </si>
  <si>
    <t xml:space="preserve">Agtech venture ecosystem</t>
  </si>
  <si>
    <t xml:space="preserve">Transformation</t>
  </si>
  <si>
    <t xml:space="preserve">6.9</t>
  </si>
  <si>
    <t xml:space="preserve">Public-private partnerships in digital ag</t>
  </si>
  <si>
    <t xml:space="preserve">ADV,AGI,SCM</t>
  </si>
  <si>
    <t xml:space="preserve">6.12</t>
  </si>
  <si>
    <t xml:space="preserve">Digital public goods adopted</t>
  </si>
  <si>
    <t xml:space="preserve">6.13</t>
  </si>
  <si>
    <t xml:space="preserve">SME/agribusiness adoption of digital tools (%)</t>
  </si>
  <si>
    <t xml:space="preserve">SMF,SCM,MKT</t>
  </si>
  <si>
    <t xml:space="preserve">6.14</t>
  </si>
  <si>
    <t xml:space="preserve">Agri-fintech rails for smallholders</t>
  </si>
  <si>
    <t xml:space="preserve">FIN</t>
  </si>
  <si>
    <t xml:space="preserve">3.9</t>
  </si>
  <si>
    <t xml:space="preserve">Digital advisory platforms at scale</t>
  </si>
  <si>
    <t xml:space="preserve">3.10</t>
  </si>
  <si>
    <t xml:space="preserve">Agricultural e-commerce platforms</t>
  </si>
  <si>
    <t xml:space="preserve">MKT</t>
  </si>
  <si>
    <t xml:space="preserve">7.2</t>
  </si>
  <si>
    <t xml:space="preserve">AI-enabled agricultural solutions deployed</t>
  </si>
  <si>
    <t xml:space="preserve">ADV,FIN,SCM,SMF,AGI</t>
  </si>
  <si>
    <t xml:space="preserve">7.12</t>
  </si>
  <si>
    <t xml:space="preserve">Responsible-AI safeguards (consent, rights)</t>
  </si>
  <si>
    <t xml:space="preserve">AI</t>
  </si>
  <si>
    <t xml:space="preserve">UC:AI</t>
  </si>
  <si>
    <t xml:space="preserve">8.2</t>
  </si>
  <si>
    <t xml:space="preserve">Account ownership, female (%)</t>
  </si>
  <si>
    <t xml:space="preserve">O1</t>
  </si>
  <si>
    <t xml:space="preserve">Outcomes</t>
  </si>
  <si>
    <t xml:space="preserve">FIN,EQ</t>
  </si>
  <si>
    <t xml:space="preserve">8.4</t>
  </si>
  <si>
    <t xml:space="preserve">Mobile money account (%)</t>
  </si>
  <si>
    <t xml:space="preserve">8.6</t>
  </si>
  <si>
    <t xml:space="preserve">Gender gap in phone ownership (pp)</t>
  </si>
  <si>
    <t xml:space="preserve">EQ</t>
  </si>
  <si>
    <t xml:space="preserve">8.9</t>
  </si>
  <si>
    <t xml:space="preserve">Smallholders reached by digital services (%)</t>
  </si>
  <si>
    <t xml:space="preserve">ALL,EQ</t>
  </si>
  <si>
    <t xml:space="preserve">8.11</t>
  </si>
  <si>
    <t xml:space="preserve">Services in local languages (%)</t>
  </si>
  <si>
    <t xml:space="preserve">ADV,EQ</t>
  </si>
  <si>
    <t xml:space="preserve">8.12</t>
  </si>
  <si>
    <t xml:space="preserve">Documented impact evidence (yield/income)</t>
  </si>
  <si>
    <t xml:space="preserve">8.17</t>
  </si>
  <si>
    <t xml:space="preserve">Climate advisory reach (%)</t>
  </si>
  <si>
    <t xml:space="preserve">Pillar profile  ·  n = indicators in the pillar; Rated = those that produced a level, which is what the mean averages; Held = level withheld pending ratification. A band in parentheses = judged rows, recorded gaps and held rows outnumber the levelled measured and documented ones</t>
  </si>
  <si>
    <t xml:space="preserve">n</t>
  </si>
  <si>
    <t xml:space="preserve">Rated</t>
  </si>
  <si>
    <t xml:space="preserve">Mean</t>
  </si>
  <si>
    <t xml:space="preserve">Band</t>
  </si>
  <si>
    <t xml:space="preserve">Measured</t>
  </si>
  <si>
    <t xml:space="preserve">Documented</t>
  </si>
  <si>
    <t xml:space="preserve">Judged</t>
  </si>
  <si>
    <t xml:space="preserve">Gap</t>
  </si>
  <si>
    <t xml:space="preserve">Held</t>
  </si>
  <si>
    <t xml:space="preserve">Layer profile and structural gap</t>
  </si>
  <si>
    <t xml:space="preserve">Gap (Foundation − Transformation)</t>
  </si>
  <si>
    <t xml:space="preserve">Prerequisites  (presence only; Unverified = the presence could not be evidenced)</t>
  </si>
  <si>
    <t xml:space="preserve">Prerequisite</t>
  </si>
  <si>
    <t xml:space="preserve">Scope</t>
  </si>
  <si>
    <t xml:space="preserve">Status</t>
  </si>
  <si>
    <t xml:space="preserve">Universal</t>
  </si>
  <si>
    <t xml:space="preserve">Use case: FIN, AGI</t>
  </si>
  <si>
    <t xml:space="preserve">Use case: AGI</t>
  </si>
  <si>
    <t xml:space="preserve">Use case: FIN</t>
  </si>
  <si>
    <t xml:space="preserve">Delivery flag</t>
  </si>
  <si>
    <t xml:space="preserve">Use case: ADV</t>
  </si>
  <si>
    <t xml:space="preserve">Use case: AI-enabled (binds AGI)</t>
  </si>
  <si>
    <t xml:space="preserve">Use-case readiness  (feeds Playbook Step 2B — Digital Readiness)</t>
  </si>
  <si>
    <t xml:space="preserve">Use case area</t>
  </si>
  <si>
    <t xml:space="preserve">Mean of bearing indicators</t>
  </si>
  <si>
    <t xml:space="preserve">Blocking / limiting factor</t>
  </si>
  <si>
    <t xml:space="preserve">Advisory &amp; extension</t>
  </si>
  <si>
    <t xml:space="preserve">Smart farming</t>
  </si>
  <si>
    <t xml:space="preserve">Market linkage</t>
  </si>
  <si>
    <t xml:space="preserve">Supply chain</t>
  </si>
  <si>
    <t xml:space="preserve">Financial services</t>
  </si>
  <si>
    <t xml:space="preserve">Ag intelligence</t>
  </si>
  <si>
    <t xml:space="preserve">Issues log — quality control findings</t>
  </si>
  <si>
    <t xml:space="preserve">Every automated failure, peer-review disagreement and sign-off exception is recorded here. Fixes change entries on the scoring sheet; derived fields are never edited.</t>
  </si>
  <si>
    <t xml:space="preserve">#</t>
  </si>
  <si>
    <t xml:space="preserve">Finding</t>
  </si>
  <si>
    <t xml:space="preserve">Row / ID</t>
  </si>
  <si>
    <t xml:space="preserve">Action</t>
  </si>
  <si>
    <t xml:space="preserve">Resolver</t>
  </si>
  <si>
    <t xml:space="preserve">Visuals — charts read live from the scoring sheet</t>
  </si>
  <si>
    <t xml:space="preserve">Read a level chart together with the evidence-mix chart: a strong bar standing on a mostly grey evidence bar is a hypothesis, not a finding.</t>
  </si>
  <si>
    <t xml:space="preserve">A1 Agriculture &amp; need</t>
  </si>
  <si>
    <t xml:space="preserve">C1 Connectivity &amp; access</t>
  </si>
  <si>
    <t xml:space="preserve">C2 Data &amp; DPI</t>
  </si>
  <si>
    <t xml:space="preserve">C3 Policy &amp; safeguards</t>
  </si>
  <si>
    <t xml:space="preserve">C4 People &amp; institutions</t>
  </si>
  <si>
    <t xml:space="preserve">E1 Innovation &amp; emerging tech</t>
  </si>
  <si>
    <t xml:space="preserve">O1 Outcomes &amp; inclusion</t>
  </si>
  <si>
    <t xml:space="preserve">Indicators</t>
  </si>
  <si>
    <t xml:space="preserve">Level 1</t>
  </si>
  <si>
    <t xml:space="preserve">Level 2</t>
  </si>
  <si>
    <t xml:space="preserve">Level 3</t>
  </si>
  <si>
    <t xml:space="preserve">Level 4</t>
  </si>
  <si>
    <t xml:space="preserve">Level 5</t>
  </si>
  <si>
    <t xml:space="preserve">Readings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</si>
  <si>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</si>
  <si>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</si>
  <si>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</si>
  <si>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</si>
  <si>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</si>
  <si>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</si>
  <si>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</si>
  <si>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</si>
  <si>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</si>
  <si>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</si>
  <si>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</si>
  <si>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</si>
  <si>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</si>
  <si>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</si>
  <si>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</si>
  <si>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</si>
  <si>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</si>
  <si>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Note: readings more than three years old are flagged STALE on the scoring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</si>
</sst>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F5B"/>
      <name val="Arial"/>
      <family val="0"/>
      <charset val="1"/>
    </font>
    <font>
      <sz val="9"/>
      <color rgb="FF89878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5F5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5F5B"/>
        <bgColor rgb="FF008080"/>
      </patternFill>
    </fill>
    <fill>
      <patternFill patternType="solid">
        <fgColor rgb="FFFFF9C4"/>
        <bgColor rgb="FFFFFF99"/>
      </patternFill>
    </fill>
    <fill>
      <patternFill patternType="solid">
        <fgColor rgb="FFEAF1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DDA"/>
      </left>
      <right style="thin">
        <color rgb="FFD8DDDA"/>
      </right>
      <top style="thin">
        <color rgb="FFD8DDDA"/>
      </top>
      <bottom style="thin">
        <color rgb="FFD8DD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5B"/>
      <rgbColor rgb="FFD8DDDA"/>
      <rgbColor rgb="FF878787"/>
      <rgbColor rgb="FF9999FF"/>
      <rgbColor rgb="FFC0504D"/>
      <rgbColor rgb="FFFFF9C4"/>
      <rgbColor rgb="FFEAF1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898781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Pillar profile (1–5)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Visuals!B3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Visuals!$B$4:$B$10</c:f>
              <c:numCache>
                <c:formatCode>General</c:formatCode>
                <c:ptCount val="7"/>
              </c:numCache>
            </c:numRef>
          </c:val>
        </c:ser>
        <c:axId val="24217996"/>
        <c:axId val="76228803"/>
      </c:radarChart>
      <c:catAx>
        <c:axId val="242179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228803"/>
        <c:crosses val="autoZero"/>
        <c:auto val="1"/>
        <c:lblAlgn val="ctr"/>
        <c:lblOffset val="100"/>
        <c:noMultiLvlLbl val="0"/>
      </c:catAx>
      <c:valAx>
        <c:axId val="76228803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21799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Pillar mean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Visuals!B3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Visuals!$B$4:$B$10</c:f>
              <c:numCache>
                <c:formatCode>General</c:formatCode>
                <c:ptCount val="7"/>
              </c:numCache>
            </c:numRef>
          </c:val>
        </c:ser>
        <c:gapWidth val="150"/>
        <c:overlap val="0"/>
        <c:axId val="32032527"/>
        <c:axId val="86130147"/>
      </c:barChart>
      <c:catAx>
        <c:axId val="3203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130147"/>
        <c:crosses val="autoZero"/>
        <c:auto val="1"/>
        <c:lblAlgn val="ctr"/>
        <c:lblOffset val="100"/>
        <c:noMultiLvlLbl val="0"/>
      </c:catAx>
      <c:valAx>
        <c:axId val="86130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0325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Evidence mix per pillar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Visuals!C3</c:f>
              <c:strCache>
                <c:ptCount val="1"/>
                <c:pt idx="0">
                  <c:v>Measured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Visuals!$C$4:$C$10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Visuals!D3</c:f>
              <c:strCache>
                <c:ptCount val="1"/>
                <c:pt idx="0">
                  <c:v>Documented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Visuals!$D$4:$D$10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Visuals!E3</c:f>
              <c:strCache>
                <c:ptCount val="1"/>
                <c:pt idx="0">
                  <c:v>Judged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Visuals!$E$4:$E$10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Visuals!F3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Visuals!$A$4:$A$10</c:f>
              <c:strCache>
                <c:ptCount val="7"/>
                <c:pt idx="0">
                  <c:v>A1 Agriculture &amp; need</c:v>
                </c:pt>
                <c:pt idx="1">
                  <c:v>C1 Connectivity &amp; access</c:v>
                </c:pt>
                <c:pt idx="2">
                  <c:v>C2 Data &amp; DPI</c:v>
                </c:pt>
                <c:pt idx="3">
                  <c:v>C3 Policy &amp; safeguards</c:v>
                </c:pt>
                <c:pt idx="4">
                  <c:v>C4 People &amp; institutions</c:v>
                </c:pt>
                <c:pt idx="5">
                  <c:v>E1 Innovation &amp; emerging tech</c:v>
                </c:pt>
                <c:pt idx="6">
                  <c:v>O1 Outcomes &amp; inclusion</c:v>
                </c:pt>
              </c:strCache>
            </c:strRef>
          </c:cat>
          <c:val>
            <c:numRef>
              <c:f>Visuals!$F$4:$F$10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100"/>
        <c:axId val="56281559"/>
        <c:axId val="68748454"/>
      </c:barChart>
      <c:catAx>
        <c:axId val="56281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748454"/>
        <c:crosses val="autoZero"/>
        <c:auto val="1"/>
        <c:lblAlgn val="ctr"/>
        <c:lblOffset val="100"/>
        <c:noMultiLvlLbl val="0"/>
      </c:catAx>
      <c:valAx>
        <c:axId val="68748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2815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Layer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Visuals!B12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Visuals!$A$13:$A$16</c:f>
              <c:strCache>
                <c:ptCount val="4"/>
                <c:pt idx="0">
                  <c:v>Foundation</c:v>
                </c:pt>
                <c:pt idx="1">
                  <c:v>Enablers</c:v>
                </c:pt>
                <c:pt idx="2">
                  <c:v>Transformation</c:v>
                </c:pt>
                <c:pt idx="3">
                  <c:v>Outcomes</c:v>
                </c:pt>
              </c:strCache>
            </c:strRef>
          </c:cat>
          <c:val>
            <c:numRef>
              <c:f>Visuals!$B$13:$B$16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19870192"/>
        <c:axId val="73171282"/>
      </c:barChart>
      <c:catAx>
        <c:axId val="198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171282"/>
        <c:crosses val="autoZero"/>
        <c:auto val="1"/>
        <c:lblAlgn val="ctr"/>
        <c:lblOffset val="100"/>
        <c:noMultiLvlLbl val="0"/>
      </c:catAx>
      <c:valAx>
        <c:axId val="73171282"/>
        <c:scaling>
          <c:orientation val="minMax"/>
          <c:max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8701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Indicators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Visuals!B18</c:f>
              <c:strCache>
                <c:ptCount val="1"/>
                <c:pt idx="0">
                  <c:v>Indicators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Visuals!$A$19:$A$23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Visuals!$B$19:$B$23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4312491"/>
        <c:axId val="90252411"/>
      </c:barChart>
      <c:catAx>
        <c:axId val="54312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252411"/>
        <c:crosses val="autoZero"/>
        <c:auto val="1"/>
        <c:lblAlgn val="ctr"/>
        <c:lblOffset val="100"/>
        <c:noMultiLvlLbl val="0"/>
      </c:catAx>
      <c:valAx>
        <c:axId val="90252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3124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Evidence vintage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Visuals!B25</c:f>
              <c:strCache>
                <c:ptCount val="1"/>
                <c:pt idx="0">
                  <c:v>Readings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Visuals!$A$26:$A$42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strCache>
            </c:strRef>
          </c:cat>
          <c:val>
            <c:numRef>
              <c:f>Visuals!$B$26:$B$42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150"/>
        <c:overlap val="0"/>
        <c:axId val="74386707"/>
        <c:axId val="29459953"/>
      </c:barChart>
      <c:catAx>
        <c:axId val="743867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459953"/>
        <c:crosses val="autoZero"/>
        <c:auto val="1"/>
        <c:lblAlgn val="ctr"/>
        <c:lblOffset val="100"/>
        <c:noMultiLvlLbl val="0"/>
      </c:catAx>
      <c:valAx>
        <c:axId val="294599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3867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13</xdr:col>
      <xdr:colOff>290520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7307640" y="41076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290520</xdr:colOff>
      <xdr:row>38</xdr:row>
      <xdr:rowOff>1080</xdr:rowOff>
    </xdr:to>
    <xdr:graphicFrame>
      <xdr:nvGraphicFramePr>
        <xdr:cNvPr id="2" name="Chart 2"/>
        <xdr:cNvGraphicFramePr/>
      </xdr:nvGraphicFramePr>
      <xdr:xfrm>
        <a:off x="7307640" y="403020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13</xdr:col>
      <xdr:colOff>290520</xdr:colOff>
      <xdr:row>57</xdr:row>
      <xdr:rowOff>1440</xdr:rowOff>
    </xdr:to>
    <xdr:graphicFrame>
      <xdr:nvGraphicFramePr>
        <xdr:cNvPr id="3" name="Chart 3"/>
        <xdr:cNvGraphicFramePr/>
      </xdr:nvGraphicFramePr>
      <xdr:xfrm>
        <a:off x="7307640" y="7650000"/>
        <a:ext cx="39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2</xdr:row>
      <xdr:rowOff>0</xdr:rowOff>
    </xdr:from>
    <xdr:to>
      <xdr:col>23</xdr:col>
      <xdr:colOff>542160</xdr:colOff>
      <xdr:row>17</xdr:row>
      <xdr:rowOff>21960</xdr:rowOff>
    </xdr:to>
    <xdr:graphicFrame>
      <xdr:nvGraphicFramePr>
        <xdr:cNvPr id="4" name="Chart 4"/>
        <xdr:cNvGraphicFramePr/>
      </xdr:nvGraphicFramePr>
      <xdr:xfrm>
        <a:off x="14034240" y="4107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19</xdr:row>
      <xdr:rowOff>0</xdr:rowOff>
    </xdr:from>
    <xdr:to>
      <xdr:col>23</xdr:col>
      <xdr:colOff>542160</xdr:colOff>
      <xdr:row>34</xdr:row>
      <xdr:rowOff>21960</xdr:rowOff>
    </xdr:to>
    <xdr:graphicFrame>
      <xdr:nvGraphicFramePr>
        <xdr:cNvPr id="5" name="Chart 5"/>
        <xdr:cNvGraphicFramePr/>
      </xdr:nvGraphicFramePr>
      <xdr:xfrm>
        <a:off x="14034240" y="364932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0</xdr:colOff>
      <xdr:row>36</xdr:row>
      <xdr:rowOff>0</xdr:rowOff>
    </xdr:from>
    <xdr:to>
      <xdr:col>23</xdr:col>
      <xdr:colOff>542160</xdr:colOff>
      <xdr:row>51</xdr:row>
      <xdr:rowOff>22320</xdr:rowOff>
    </xdr:to>
    <xdr:graphicFrame>
      <xdr:nvGraphicFramePr>
        <xdr:cNvPr id="6" name="Chart 6"/>
        <xdr:cNvGraphicFramePr/>
      </xdr:nvGraphicFramePr>
      <xdr:xfrm>
        <a:off x="14034240" y="68878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7" min="5" style="0" width="17"/>
    <col collapsed="false" customWidth="true" hidden="false" outlineLevel="0" max="8" min="8" style="0" width="34"/>
  </cols>
  <sheetData>
    <row r="2" customFormat="false" ht="17.35" hidden="false" customHeight="false" outlineLevel="0" collapsed="false">
      <c r="C2" s="1" t="s">
        <v>0</v>
      </c>
    </row>
    <row r="3" customFormat="false" ht="15" hidden="false" customHeight="false" outlineLevel="0" collapsed="false">
      <c r="C3" s="2" t="s">
        <v>1</v>
      </c>
    </row>
    <row r="5" customFormat="false" ht="15" hidden="false" customHeight="false" outlineLevel="0" collapsed="false">
      <c r="C5" s="3" t="s">
        <v>2</v>
      </c>
    </row>
    <row r="7" customFormat="false" ht="15" hidden="false" customHeight="false" outlineLevel="0" collapsed="false">
      <c r="C7" s="4" t="s">
        <v>3</v>
      </c>
    </row>
    <row r="8" customFormat="false" ht="39.75" hidden="false" customHeight="true" outlineLevel="0" collapsed="false">
      <c r="C8" s="5" t="s">
        <v>4</v>
      </c>
      <c r="D8" s="6" t="s">
        <v>5</v>
      </c>
      <c r="E8" s="6"/>
      <c r="F8" s="6"/>
      <c r="G8" s="6"/>
      <c r="H8" s="6"/>
    </row>
    <row r="9" customFormat="false" ht="39.75" hidden="false" customHeight="true" outlineLevel="0" collapsed="false">
      <c r="C9" s="5" t="s">
        <v>6</v>
      </c>
      <c r="D9" s="6" t="s">
        <v>7</v>
      </c>
      <c r="E9" s="6"/>
      <c r="F9" s="6"/>
      <c r="G9" s="6"/>
      <c r="H9" s="6"/>
    </row>
    <row r="10" customFormat="false" ht="39.75" hidden="false" customHeight="true" outlineLevel="0" collapsed="false">
      <c r="C10" s="5" t="s">
        <v>8</v>
      </c>
      <c r="D10" s="6" t="s">
        <v>9</v>
      </c>
      <c r="E10" s="6"/>
      <c r="F10" s="6"/>
      <c r="G10" s="6"/>
      <c r="H10" s="6"/>
    </row>
    <row r="11" customFormat="false" ht="39.75" hidden="false" customHeight="true" outlineLevel="0" collapsed="false">
      <c r="C11" s="5" t="s">
        <v>10</v>
      </c>
      <c r="D11" s="6" t="s">
        <v>11</v>
      </c>
      <c r="E11" s="6"/>
      <c r="F11" s="6"/>
      <c r="G11" s="6"/>
      <c r="H11" s="6"/>
    </row>
    <row r="13" customFormat="false" ht="15" hidden="false" customHeight="false" outlineLevel="0" collapsed="false">
      <c r="C13" s="4" t="s">
        <v>12</v>
      </c>
    </row>
    <row r="14" customFormat="false" ht="30" hidden="false" customHeight="true" outlineLevel="0" collapsed="false">
      <c r="C14" s="5" t="s">
        <v>13</v>
      </c>
      <c r="D14" s="6" t="s">
        <v>14</v>
      </c>
      <c r="E14" s="6"/>
      <c r="F14" s="6"/>
      <c r="G14" s="6"/>
      <c r="H14" s="6"/>
    </row>
    <row r="15" customFormat="false" ht="30" hidden="false" customHeight="true" outlineLevel="0" collapsed="false">
      <c r="C15" s="5" t="s">
        <v>15</v>
      </c>
      <c r="D15" s="6" t="s">
        <v>16</v>
      </c>
      <c r="E15" s="6"/>
      <c r="F15" s="6"/>
      <c r="G15" s="6"/>
      <c r="H15" s="6"/>
    </row>
    <row r="16" customFormat="false" ht="30" hidden="false" customHeight="true" outlineLevel="0" collapsed="false">
      <c r="C16" s="5" t="s">
        <v>17</v>
      </c>
      <c r="D16" s="6" t="s">
        <v>18</v>
      </c>
      <c r="E16" s="6"/>
      <c r="F16" s="6"/>
      <c r="G16" s="6"/>
      <c r="H16" s="6"/>
    </row>
    <row r="17" customFormat="false" ht="30" hidden="false" customHeight="true" outlineLevel="0" collapsed="false">
      <c r="C17" s="5" t="s">
        <v>19</v>
      </c>
      <c r="D17" s="6" t="s">
        <v>20</v>
      </c>
      <c r="E17" s="6"/>
      <c r="F17" s="6"/>
      <c r="G17" s="6"/>
      <c r="H17" s="6"/>
    </row>
    <row r="18" customFormat="false" ht="30" hidden="false" customHeight="true" outlineLevel="0" collapsed="false">
      <c r="C18" s="5" t="s">
        <v>21</v>
      </c>
      <c r="D18" s="6" t="s">
        <v>22</v>
      </c>
      <c r="E18" s="6"/>
      <c r="F18" s="6"/>
      <c r="G18" s="6"/>
      <c r="H18" s="6"/>
    </row>
    <row r="20" customFormat="false" ht="15" hidden="false" customHeight="false" outlineLevel="0" collapsed="false">
      <c r="C20" s="4" t="s">
        <v>23</v>
      </c>
    </row>
    <row r="21" customFormat="false" ht="25.5" hidden="false" customHeight="true" outlineLevel="0" collapsed="false">
      <c r="D21" s="7" t="s">
        <v>24</v>
      </c>
      <c r="E21" s="7"/>
      <c r="F21" s="7"/>
      <c r="G21" s="7"/>
      <c r="H21" s="7"/>
    </row>
    <row r="22" customFormat="false" ht="15" hidden="false" customHeight="false" outlineLevel="0" collapsed="false">
      <c r="C22" s="8" t="s">
        <v>25</v>
      </c>
      <c r="D22" s="8" t="s">
        <v>26</v>
      </c>
      <c r="E22" s="8" t="s">
        <v>27</v>
      </c>
      <c r="F22" s="8" t="s">
        <v>28</v>
      </c>
      <c r="G22" s="8" t="s">
        <v>29</v>
      </c>
    </row>
    <row r="23" customFormat="false" ht="57.75" hidden="false" customHeight="true" outlineLevel="0" collapsed="false">
      <c r="C23" s="9" t="s">
        <v>30</v>
      </c>
      <c r="D23" s="10" t="s">
        <v>31</v>
      </c>
      <c r="E23" s="11"/>
      <c r="F23" s="11"/>
      <c r="G23" s="11"/>
    </row>
    <row r="24" customFormat="false" ht="57.75" hidden="false" customHeight="true" outlineLevel="0" collapsed="false">
      <c r="C24" s="9" t="s">
        <v>32</v>
      </c>
      <c r="D24" s="10" t="s">
        <v>33</v>
      </c>
      <c r="E24" s="11"/>
      <c r="F24" s="11"/>
      <c r="G24" s="11"/>
    </row>
    <row r="25" customFormat="false" ht="57.75" hidden="false" customHeight="true" outlineLevel="0" collapsed="false">
      <c r="C25" s="9" t="s">
        <v>34</v>
      </c>
      <c r="D25" s="10" t="s">
        <v>35</v>
      </c>
      <c r="E25" s="11"/>
      <c r="F25" s="11"/>
      <c r="G25" s="11"/>
    </row>
    <row r="27" customFormat="false" ht="15" hidden="false" customHeight="false" outlineLevel="0" collapsed="false">
      <c r="C27" s="4" t="s">
        <v>36</v>
      </c>
    </row>
    <row r="28" customFormat="false" ht="15" hidden="false" customHeight="false" outlineLevel="0" collapsed="false">
      <c r="D28" s="3" t="s">
        <v>37</v>
      </c>
    </row>
    <row r="29" customFormat="false" ht="15" hidden="false" customHeight="false" outlineLevel="0" collapsed="false">
      <c r="D29" s="3" t="s">
        <v>38</v>
      </c>
    </row>
    <row r="30" customFormat="false" ht="15" hidden="false" customHeight="false" outlineLevel="0" collapsed="false">
      <c r="D30" s="3" t="s">
        <v>39</v>
      </c>
    </row>
    <row r="31" customFormat="false" ht="15" hidden="false" customHeight="false" outlineLevel="0" collapsed="false">
      <c r="D31" s="3" t="s">
        <v>40</v>
      </c>
    </row>
  </sheetData>
  <mergeCells count="10">
    <mergeCell ref="D8:H8"/>
    <mergeCell ref="D9:H9"/>
    <mergeCell ref="D10:H10"/>
    <mergeCell ref="D11:H11"/>
    <mergeCell ref="D14:H14"/>
    <mergeCell ref="D15:H15"/>
    <mergeCell ref="D16:H16"/>
    <mergeCell ref="D17:H17"/>
    <mergeCell ref="D18:H18"/>
    <mergeCell ref="D21:H2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78"/>
  </cols>
  <sheetData>
    <row r="1" customFormat="false" ht="17.35" hidden="false" customHeight="false" outlineLevel="0" collapsed="false">
      <c r="B1" s="1" t="s">
        <v>41</v>
      </c>
    </row>
    <row r="2" customFormat="false" ht="25.5" hidden="false" customHeight="true" outlineLevel="0" collapsed="false">
      <c r="B2" s="5" t="s">
        <v>42</v>
      </c>
      <c r="C2" s="12" t="n">
        <v>2026</v>
      </c>
      <c r="D2" s="13" t="s">
        <v>43</v>
      </c>
    </row>
    <row r="3" customFormat="false" ht="25.5" hidden="false" customHeight="true" outlineLevel="0" collapsed="false">
      <c r="B3" s="5" t="s">
        <v>44</v>
      </c>
      <c r="C3" s="12" t="n">
        <v>3</v>
      </c>
      <c r="D3" s="13" t="s">
        <v>45</v>
      </c>
    </row>
    <row r="4" customFormat="false" ht="25.5" hidden="false" customHeight="true" outlineLevel="0" collapsed="false">
      <c r="B4" s="5" t="s">
        <v>46</v>
      </c>
      <c r="C4" s="3" t="n">
        <v>2.6</v>
      </c>
      <c r="D4" s="13" t="s">
        <v>47</v>
      </c>
    </row>
    <row r="5" customFormat="false" ht="25.5" hidden="false" customHeight="true" outlineLevel="0" collapsed="false">
      <c r="B5" s="5" t="s">
        <v>48</v>
      </c>
      <c r="C5" s="3" t="n">
        <v>1.5</v>
      </c>
      <c r="D5" s="13" t="s">
        <v>49</v>
      </c>
    </row>
    <row r="6" customFormat="false" ht="25.5" hidden="false" customHeight="true" outlineLevel="0" collapsed="false">
      <c r="B6" s="5" t="s">
        <v>50</v>
      </c>
      <c r="C6" s="3" t="s">
        <v>51</v>
      </c>
      <c r="D6" s="13" t="s">
        <v>52</v>
      </c>
    </row>
    <row r="7" customFormat="false" ht="13.5" hidden="false" customHeight="true" outlineLevel="0" collapsed="false">
      <c r="B7" s="5" t="s">
        <v>53</v>
      </c>
      <c r="C7" s="3" t="s">
        <v>54</v>
      </c>
      <c r="D7" s="13"/>
    </row>
    <row r="8" customFormat="false" ht="13.5" hidden="false" customHeight="true" outlineLevel="0" collapsed="false">
      <c r="B8" s="5" t="s">
        <v>55</v>
      </c>
      <c r="C8" s="3" t="s">
        <v>56</v>
      </c>
      <c r="D8" s="13"/>
    </row>
    <row r="9" customFormat="false" ht="13.5" hidden="false" customHeight="true" outlineLevel="0" collapsed="false">
      <c r="B9" s="5" t="s">
        <v>57</v>
      </c>
      <c r="C9" s="3" t="s">
        <v>58</v>
      </c>
      <c r="D9" s="13"/>
    </row>
    <row r="10" customFormat="false" ht="13.5" hidden="false" customHeight="true" outlineLevel="0" collapsed="false">
      <c r="B10" s="5" t="s">
        <v>59</v>
      </c>
      <c r="C10" s="3" t="s">
        <v>60</v>
      </c>
      <c r="D10" s="13"/>
    </row>
    <row r="11" customFormat="false" ht="25.5" hidden="false" customHeight="true" outlineLevel="0" collapsed="false">
      <c r="B11" s="5" t="s">
        <v>61</v>
      </c>
      <c r="C11" s="3" t="s">
        <v>62</v>
      </c>
      <c r="D11" s="13" t="s">
        <v>63</v>
      </c>
    </row>
    <row r="12" customFormat="false" ht="25.5" hidden="false" customHeight="true" outlineLevel="0" collapsed="false">
      <c r="B12" s="5" t="s">
        <v>64</v>
      </c>
      <c r="C12" s="3" t="s">
        <v>65</v>
      </c>
      <c r="D12" s="13" t="s">
        <v>66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84"/>
  </cols>
  <sheetData>
    <row r="1" customFormat="false" ht="17.35" hidden="false" customHeight="false" outlineLevel="0" collapsed="false">
      <c r="B1" s="1" t="s">
        <v>67</v>
      </c>
    </row>
    <row r="2" customFormat="false" ht="15" hidden="false" customHeight="false" outlineLevel="0" collapsed="false">
      <c r="B2" s="2" t="s">
        <v>68</v>
      </c>
    </row>
    <row r="4" customFormat="false" ht="15" hidden="false" customHeight="false" outlineLevel="0" collapsed="false">
      <c r="B4" s="8" t="s">
        <v>69</v>
      </c>
      <c r="C4" s="8" t="s">
        <v>70</v>
      </c>
      <c r="D4" s="8" t="s">
        <v>71</v>
      </c>
    </row>
    <row r="5" customFormat="false" ht="30" hidden="false" customHeight="true" outlineLevel="0" collapsed="false">
      <c r="B5" s="9" t="n">
        <v>1</v>
      </c>
      <c r="C5" s="10" t="s">
        <v>72</v>
      </c>
      <c r="D5" s="10" t="s">
        <v>73</v>
      </c>
    </row>
    <row r="6" customFormat="false" ht="30" hidden="false" customHeight="true" outlineLevel="0" collapsed="false">
      <c r="B6" s="9" t="n">
        <v>2</v>
      </c>
      <c r="C6" s="10" t="s">
        <v>74</v>
      </c>
      <c r="D6" s="10" t="s">
        <v>75</v>
      </c>
    </row>
    <row r="7" customFormat="false" ht="30" hidden="false" customHeight="true" outlineLevel="0" collapsed="false">
      <c r="B7" s="9" t="n">
        <v>3</v>
      </c>
      <c r="C7" s="10" t="s">
        <v>76</v>
      </c>
      <c r="D7" s="10" t="s">
        <v>77</v>
      </c>
    </row>
    <row r="8" customFormat="false" ht="30" hidden="false" customHeight="true" outlineLevel="0" collapsed="false">
      <c r="B8" s="9" t="n">
        <v>4</v>
      </c>
      <c r="C8" s="10" t="s">
        <v>78</v>
      </c>
      <c r="D8" s="10" t="s">
        <v>79</v>
      </c>
    </row>
    <row r="9" customFormat="false" ht="30" hidden="false" customHeight="true" outlineLevel="0" collapsed="false">
      <c r="B9" s="9" t="n">
        <v>5</v>
      </c>
      <c r="C9" s="10" t="s">
        <v>80</v>
      </c>
      <c r="D9" s="10" t="s">
        <v>81</v>
      </c>
    </row>
    <row r="11" customFormat="false" ht="15" hidden="false" customHeight="false" outlineLevel="0" collapsed="false">
      <c r="B11" s="2" t="s">
        <v>82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62"/>
    <col collapsed="false" customWidth="true" hidden="false" outlineLevel="0" max="5" min="5" style="0" width="52"/>
  </cols>
  <sheetData>
    <row r="1" customFormat="false" ht="17.35" hidden="false" customHeight="false" outlineLevel="0" collapsed="false">
      <c r="B1" s="1" t="s">
        <v>83</v>
      </c>
    </row>
    <row r="2" customFormat="false" ht="15" hidden="false" customHeight="false" outlineLevel="0" collapsed="false">
      <c r="B2" s="2" t="s">
        <v>84</v>
      </c>
    </row>
    <row r="4" customFormat="false" ht="15" hidden="false" customHeight="false" outlineLevel="0" collapsed="false">
      <c r="B4" s="8" t="s">
        <v>19</v>
      </c>
      <c r="C4" s="8" t="s">
        <v>85</v>
      </c>
      <c r="D4" s="8" t="s">
        <v>86</v>
      </c>
      <c r="E4" s="8" t="s">
        <v>87</v>
      </c>
    </row>
    <row r="5" customFormat="false" ht="33.75" hidden="false" customHeight="true" outlineLevel="0" collapsed="false">
      <c r="B5" s="9" t="s">
        <v>88</v>
      </c>
      <c r="C5" s="10" t="s">
        <v>89</v>
      </c>
      <c r="D5" s="10" t="s">
        <v>90</v>
      </c>
      <c r="E5" s="10" t="s">
        <v>91</v>
      </c>
    </row>
    <row r="6" customFormat="false" ht="33.75" hidden="false" customHeight="true" outlineLevel="0" collapsed="false">
      <c r="B6" s="9" t="s">
        <v>92</v>
      </c>
      <c r="C6" s="10" t="s">
        <v>93</v>
      </c>
      <c r="D6" s="10" t="s">
        <v>94</v>
      </c>
      <c r="E6" s="10" t="s">
        <v>95</v>
      </c>
    </row>
    <row r="7" customFormat="false" ht="33.75" hidden="false" customHeight="true" outlineLevel="0" collapsed="false">
      <c r="B7" s="9" t="s">
        <v>96</v>
      </c>
      <c r="C7" s="10" t="s">
        <v>97</v>
      </c>
      <c r="D7" s="10" t="s">
        <v>98</v>
      </c>
      <c r="E7" s="10" t="s">
        <v>99</v>
      </c>
    </row>
    <row r="8" customFormat="false" ht="33.75" hidden="false" customHeight="true" outlineLevel="0" collapsed="false">
      <c r="B8" s="9" t="s">
        <v>100</v>
      </c>
      <c r="C8" s="10" t="s">
        <v>101</v>
      </c>
      <c r="D8" s="10" t="s">
        <v>102</v>
      </c>
      <c r="E8" s="10" t="s">
        <v>103</v>
      </c>
    </row>
    <row r="9" customFormat="false" ht="33.75" hidden="false" customHeight="true" outlineLevel="0" collapsed="false">
      <c r="B9" s="9" t="s">
        <v>104</v>
      </c>
      <c r="C9" s="10" t="s">
        <v>105</v>
      </c>
      <c r="D9" s="10" t="s">
        <v>106</v>
      </c>
      <c r="E9" s="10" t="s">
        <v>107</v>
      </c>
    </row>
    <row r="11" customFormat="false" ht="25.5" hidden="false" customHeight="true" outlineLevel="0" collapsed="false">
      <c r="C11" s="7" t="s">
        <v>108</v>
      </c>
      <c r="D11" s="7"/>
      <c r="E11" s="7"/>
    </row>
    <row r="12" customFormat="false" ht="25.5" hidden="false" customHeight="true" outlineLevel="0" collapsed="false">
      <c r="C12" s="7" t="s">
        <v>109</v>
      </c>
      <c r="D12" s="7"/>
      <c r="E12" s="7"/>
    </row>
    <row r="13" customFormat="false" ht="25.5" hidden="false" customHeight="true" outlineLevel="0" collapsed="false">
      <c r="C13" s="7" t="s">
        <v>110</v>
      </c>
      <c r="D13" s="7"/>
      <c r="E13" s="7"/>
    </row>
  </sheetData>
  <mergeCells count="3">
    <mergeCell ref="C11:E11"/>
    <mergeCell ref="C12:E12"/>
    <mergeCell ref="C13:E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5"/>
    <col collapsed="false" customWidth="true" hidden="false" outlineLevel="0" max="12" min="9" style="0" width="7"/>
    <col collapsed="false" customWidth="true" hidden="false" outlineLevel="0" max="13" min="13" style="0" width="46"/>
    <col collapsed="false" customWidth="true" hidden="false" outlineLevel="0" max="14" min="14" style="0" width="34"/>
    <col collapsed="false" customWidth="true" hidden="false" outlineLevel="0" max="15" min="15" style="0" width="30"/>
    <col collapsed="false" customWidth="true" hidden="false" outlineLevel="0" max="16" min="16" style="0" width="6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19" min="19" style="0" width="12"/>
    <col collapsed="false" customWidth="true" hidden="false" outlineLevel="0" max="20" min="20" style="0" width="7"/>
    <col collapsed="false" customWidth="true" hidden="false" outlineLevel="0" max="21" min="21" style="0" width="8"/>
    <col collapsed="false" customWidth="true" hidden="true" outlineLevel="0" max="27" min="22" style="0" width="5"/>
    <col collapsed="false" customWidth="true" hidden="false" outlineLevel="0" max="28" min="28" style="0" width="78"/>
    <col collapsed="false" customWidth="true" hidden="false" outlineLevel="0" max="29" min="29" style="0" width="16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30" hidden="false" customHeight="true" outlineLevel="0" collapsed="false">
      <c r="A4" s="14" t="s">
        <v>113</v>
      </c>
      <c r="B4" s="14" t="s">
        <v>114</v>
      </c>
      <c r="C4" s="14" t="s">
        <v>115</v>
      </c>
      <c r="D4" s="14" t="s">
        <v>116</v>
      </c>
      <c r="E4" s="14" t="s">
        <v>117</v>
      </c>
      <c r="F4" s="14" t="s">
        <v>118</v>
      </c>
      <c r="G4" s="14" t="s">
        <v>119</v>
      </c>
      <c r="H4" s="14" t="s">
        <v>120</v>
      </c>
      <c r="I4" s="14" t="s">
        <v>121</v>
      </c>
      <c r="J4" s="14" t="s">
        <v>122</v>
      </c>
      <c r="K4" s="14" t="s">
        <v>123</v>
      </c>
      <c r="L4" s="14" t="s">
        <v>124</v>
      </c>
      <c r="M4" s="14" t="s">
        <v>17</v>
      </c>
      <c r="N4" s="14" t="s">
        <v>125</v>
      </c>
      <c r="O4" s="14" t="s">
        <v>126</v>
      </c>
      <c r="P4" s="14" t="s">
        <v>19</v>
      </c>
      <c r="Q4" s="14" t="s">
        <v>127</v>
      </c>
      <c r="R4" s="14" t="s">
        <v>21</v>
      </c>
      <c r="S4" s="14" t="s">
        <v>128</v>
      </c>
      <c r="T4" s="14" t="s">
        <v>69</v>
      </c>
      <c r="U4" s="14" t="s">
        <v>129</v>
      </c>
      <c r="V4" s="14" t="s">
        <v>130</v>
      </c>
      <c r="W4" s="14" t="s">
        <v>131</v>
      </c>
      <c r="X4" s="14" t="s">
        <v>132</v>
      </c>
      <c r="Y4" s="14" t="s">
        <v>133</v>
      </c>
      <c r="Z4" s="14" t="s">
        <v>134</v>
      </c>
      <c r="AA4" s="14" t="s">
        <v>135</v>
      </c>
      <c r="AB4" s="14" t="s">
        <v>136</v>
      </c>
      <c r="AC4" s="14" t="s">
        <v>137</v>
      </c>
    </row>
    <row r="5" customFormat="false" ht="15" hidden="false" customHeight="false" outlineLevel="0" collapsed="false">
      <c r="A5" s="15" t="s">
        <v>138</v>
      </c>
      <c r="B5" s="10" t="s">
        <v>139</v>
      </c>
      <c r="C5" s="15" t="s">
        <v>140</v>
      </c>
      <c r="D5" s="15" t="s">
        <v>141</v>
      </c>
      <c r="E5" s="15" t="s">
        <v>142</v>
      </c>
      <c r="F5" s="15"/>
      <c r="G5" s="15" t="s">
        <v>143</v>
      </c>
      <c r="H5" s="15" t="s">
        <v>144</v>
      </c>
      <c r="I5" s="15" t="n">
        <v>1000</v>
      </c>
      <c r="J5" s="15" t="n">
        <v>2500</v>
      </c>
      <c r="K5" s="15" t="n">
        <v>5000</v>
      </c>
      <c r="L5" s="15" t="n">
        <v>10000</v>
      </c>
      <c r="M5" s="16"/>
      <c r="N5" s="16"/>
      <c r="O5" s="16"/>
      <c r="P5" s="11"/>
      <c r="Q5" s="11"/>
      <c r="R5" s="11"/>
      <c r="S5" s="15" t="str">
        <f aca="false">IF($M5="","",IF(ISNUMBER($M5),"Measured",IF(ISNUMBER(SEARCH("DATA GAP",UPPER($M5))),"Gap",IF(AND($N5&lt;&gt;"",$P5&lt;&gt;"T5"),"Documented","Judged"))))</f>
        <v/>
      </c>
      <c r="T5" s="15" t="str">
        <f aca="false">IF($AC5&lt;&gt;"","",IF(OR($S5="",$S5="Gap"),"",IF($S5="Measured",1+IF($H5="H",IF($M5&gt;=$I5,1,0)+IF($M5&gt;=$J5,1,0)+IF($M5&gt;=$K5,1,0)+IF($M5&gt;=$L5,1,0),IF($M5&lt;=$I5,1,0)+IF($M5&lt;=$J5,1,0)+IF($M5&lt;=$K5,1,0)+IF($M5&lt;=$L5,1,0)),IF($R5&lt;&gt;"",$R5,""))))</f>
        <v/>
      </c>
      <c r="U5" s="15" t="str">
        <f aca="false">IF(OR($S5="",$S5="Gap",$Q5=""),"",IF($Q5&lt;Config!$C$2-Config!$C$3,"STALE",""))</f>
        <v/>
      </c>
      <c r="V5" s="15" t="n">
        <f aca="false">IF(OR(ISNUMBER(SEARCH("ALL",$E5)),ISNUMBER(SEARCH("ADV",$E5))),1,0)</f>
        <v>0</v>
      </c>
      <c r="W5" s="15" t="n">
        <f aca="false">IF(OR(ISNUMBER(SEARCH("ALL",$E5)),ISNUMBER(SEARCH("SMF",$E5))),1,0)</f>
        <v>0</v>
      </c>
      <c r="X5" s="15" t="n">
        <f aca="false">IF(OR(ISNUMBER(SEARCH("ALL",$E5)),ISNUMBER(SEARCH("MKT",$E5))),1,0)</f>
        <v>0</v>
      </c>
      <c r="Y5" s="15" t="n">
        <f aca="false">IF(OR(ISNUMBER(SEARCH("ALL",$E5)),ISNUMBER(SEARCH("SCM",$E5))),1,0)</f>
        <v>0</v>
      </c>
      <c r="Z5" s="15" t="n">
        <f aca="false">IF(OR(ISNUMBER(SEARCH("ALL",$E5)),ISNUMBER(SEARCH("FIN",$E5))),1,0)</f>
        <v>0</v>
      </c>
      <c r="AA5" s="15" t="n">
        <f aca="false">IF(OR(ISNUMBER(SEARCH("ALL",$E5)),ISNUMBER(SEARCH("AGI",$E5))),1,0)</f>
        <v>0</v>
      </c>
    </row>
    <row r="6" customFormat="false" ht="15" hidden="false" customHeight="false" outlineLevel="0" collapsed="false">
      <c r="A6" s="15" t="s">
        <v>145</v>
      </c>
      <c r="B6" s="10" t="s">
        <v>146</v>
      </c>
      <c r="C6" s="15" t="s">
        <v>140</v>
      </c>
      <c r="D6" s="15" t="s">
        <v>141</v>
      </c>
      <c r="E6" s="15" t="s">
        <v>142</v>
      </c>
      <c r="F6" s="15"/>
      <c r="G6" s="15" t="s">
        <v>143</v>
      </c>
      <c r="H6" s="15" t="s">
        <v>144</v>
      </c>
      <c r="I6" s="15" t="n">
        <v>1500</v>
      </c>
      <c r="J6" s="15" t="n">
        <v>3000</v>
      </c>
      <c r="K6" s="15" t="n">
        <v>4500</v>
      </c>
      <c r="L6" s="15" t="n">
        <v>6000</v>
      </c>
      <c r="M6" s="16"/>
      <c r="N6" s="16"/>
      <c r="O6" s="16"/>
      <c r="P6" s="11"/>
      <c r="Q6" s="11"/>
      <c r="R6" s="11"/>
      <c r="S6" s="15" t="str">
        <f aca="false">IF($M6="","",IF(ISNUMBER($M6),"Measured",IF(ISNUMBER(SEARCH("DATA GAP",UPPER($M6))),"Gap",IF(AND($N6&lt;&gt;"",$P6&lt;&gt;"T5"),"Documented","Judged"))))</f>
        <v/>
      </c>
      <c r="T6" s="15" t="str">
        <f aca="false">IF($AC6&lt;&gt;"","",IF(OR($S6="",$S6="Gap"),"",IF($S6="Measured",1+IF($H6="H",IF($M6&gt;=$I6,1,0)+IF($M6&gt;=$J6,1,0)+IF($M6&gt;=$K6,1,0)+IF($M6&gt;=$L6,1,0),IF($M6&lt;=$I6,1,0)+IF($M6&lt;=$J6,1,0)+IF($M6&lt;=$K6,1,0)+IF($M6&lt;=$L6,1,0)),IF($R6&lt;&gt;"",$R6,""))))</f>
        <v/>
      </c>
      <c r="U6" s="15" t="str">
        <f aca="false">IF(OR($S6="",$S6="Gap",$Q6=""),"",IF($Q6&lt;Config!$C$2-Config!$C$3,"STALE",""))</f>
        <v/>
      </c>
      <c r="V6" s="15" t="n">
        <f aca="false">IF(OR(ISNUMBER(SEARCH("ALL",$E6)),ISNUMBER(SEARCH("ADV",$E6))),1,0)</f>
        <v>0</v>
      </c>
      <c r="W6" s="15" t="n">
        <f aca="false">IF(OR(ISNUMBER(SEARCH("ALL",$E6)),ISNUMBER(SEARCH("SMF",$E6))),1,0)</f>
        <v>0</v>
      </c>
      <c r="X6" s="15" t="n">
        <f aca="false">IF(OR(ISNUMBER(SEARCH("ALL",$E6)),ISNUMBER(SEARCH("MKT",$E6))),1,0)</f>
        <v>0</v>
      </c>
      <c r="Y6" s="15" t="n">
        <f aca="false">IF(OR(ISNUMBER(SEARCH("ALL",$E6)),ISNUMBER(SEARCH("SCM",$E6))),1,0)</f>
        <v>0</v>
      </c>
      <c r="Z6" s="15" t="n">
        <f aca="false">IF(OR(ISNUMBER(SEARCH("ALL",$E6)),ISNUMBER(SEARCH("FIN",$E6))),1,0)</f>
        <v>0</v>
      </c>
      <c r="AA6" s="15" t="n">
        <f aca="false">IF(OR(ISNUMBER(SEARCH("ALL",$E6)),ISNUMBER(SEARCH("AGI",$E6))),1,0)</f>
        <v>0</v>
      </c>
    </row>
    <row r="7" customFormat="false" ht="15" hidden="false" customHeight="false" outlineLevel="0" collapsed="false">
      <c r="A7" s="15" t="s">
        <v>147</v>
      </c>
      <c r="B7" s="10" t="s">
        <v>148</v>
      </c>
      <c r="C7" s="15" t="s">
        <v>140</v>
      </c>
      <c r="D7" s="15" t="s">
        <v>141</v>
      </c>
      <c r="E7" s="15" t="s">
        <v>142</v>
      </c>
      <c r="F7" s="15"/>
      <c r="G7" s="15" t="s">
        <v>143</v>
      </c>
      <c r="H7" s="15" t="s">
        <v>149</v>
      </c>
      <c r="I7" s="15" t="n">
        <v>45</v>
      </c>
      <c r="J7" s="15" t="n">
        <v>30</v>
      </c>
      <c r="K7" s="15" t="n">
        <v>15</v>
      </c>
      <c r="L7" s="15" t="n">
        <v>5</v>
      </c>
      <c r="M7" s="16"/>
      <c r="N7" s="16"/>
      <c r="O7" s="16"/>
      <c r="P7" s="11"/>
      <c r="Q7" s="11"/>
      <c r="R7" s="11"/>
      <c r="S7" s="15" t="str">
        <f aca="false">IF($M7="","",IF(ISNUMBER($M7),"Measured",IF(ISNUMBER(SEARCH("DATA GAP",UPPER($M7))),"Gap",IF(AND($N7&lt;&gt;"",$P7&lt;&gt;"T5"),"Documented","Judged"))))</f>
        <v/>
      </c>
      <c r="T7" s="15" t="str">
        <f aca="false">IF($AC7&lt;&gt;"","",IF(OR($S7="",$S7="Gap"),"",IF($S7="Measured",1+IF($H7="H",IF($M7&gt;=$I7,1,0)+IF($M7&gt;=$J7,1,0)+IF($M7&gt;=$K7,1,0)+IF($M7&gt;=$L7,1,0),IF($M7&lt;=$I7,1,0)+IF($M7&lt;=$J7,1,0)+IF($M7&lt;=$K7,1,0)+IF($M7&lt;=$L7,1,0)),IF($R7&lt;&gt;"",$R7,""))))</f>
        <v/>
      </c>
      <c r="U7" s="15" t="str">
        <f aca="false">IF(OR($S7="",$S7="Gap",$Q7=""),"",IF($Q7&lt;Config!$C$2-Config!$C$3,"STALE",""))</f>
        <v/>
      </c>
      <c r="V7" s="15" t="n">
        <f aca="false">IF(OR(ISNUMBER(SEARCH("ALL",$E7)),ISNUMBER(SEARCH("ADV",$E7))),1,0)</f>
        <v>0</v>
      </c>
      <c r="W7" s="15" t="n">
        <f aca="false">IF(OR(ISNUMBER(SEARCH("ALL",$E7)),ISNUMBER(SEARCH("SMF",$E7))),1,0)</f>
        <v>0</v>
      </c>
      <c r="X7" s="15" t="n">
        <f aca="false">IF(OR(ISNUMBER(SEARCH("ALL",$E7)),ISNUMBER(SEARCH("MKT",$E7))),1,0)</f>
        <v>0</v>
      </c>
      <c r="Y7" s="15" t="n">
        <f aca="false">IF(OR(ISNUMBER(SEARCH("ALL",$E7)),ISNUMBER(SEARCH("SCM",$E7))),1,0)</f>
        <v>0</v>
      </c>
      <c r="Z7" s="15" t="n">
        <f aca="false">IF(OR(ISNUMBER(SEARCH("ALL",$E7)),ISNUMBER(SEARCH("FIN",$E7))),1,0)</f>
        <v>0</v>
      </c>
      <c r="AA7" s="15" t="n">
        <f aca="false">IF(OR(ISNUMBER(SEARCH("ALL",$E7)),ISNUMBER(SEARCH("AGI",$E7))),1,0)</f>
        <v>0</v>
      </c>
    </row>
    <row r="8" customFormat="false" ht="15" hidden="false" customHeight="false" outlineLevel="0" collapsed="false">
      <c r="A8" s="15" t="s">
        <v>150</v>
      </c>
      <c r="B8" s="10" t="s">
        <v>151</v>
      </c>
      <c r="C8" s="15" t="s">
        <v>140</v>
      </c>
      <c r="D8" s="15" t="s">
        <v>141</v>
      </c>
      <c r="E8" s="15" t="s">
        <v>142</v>
      </c>
      <c r="F8" s="15"/>
      <c r="G8" s="15" t="s">
        <v>143</v>
      </c>
      <c r="H8" s="15" t="s">
        <v>144</v>
      </c>
      <c r="I8" s="15" t="n">
        <v>95</v>
      </c>
      <c r="J8" s="15" t="n">
        <v>105</v>
      </c>
      <c r="K8" s="15" t="n">
        <v>115</v>
      </c>
      <c r="L8" s="15" t="n">
        <v>130</v>
      </c>
      <c r="M8" s="16"/>
      <c r="N8" s="16"/>
      <c r="O8" s="16"/>
      <c r="P8" s="11"/>
      <c r="Q8" s="11"/>
      <c r="R8" s="11"/>
      <c r="S8" s="15" t="str">
        <f aca="false">IF($M8="","",IF(ISNUMBER($M8),"Measured",IF(ISNUMBER(SEARCH("DATA GAP",UPPER($M8))),"Gap",IF(AND($N8&lt;&gt;"",$P8&lt;&gt;"T5"),"Documented","Judged"))))</f>
        <v/>
      </c>
      <c r="T8" s="15" t="str">
        <f aca="false">IF($AC8&lt;&gt;"","",IF(OR($S8="",$S8="Gap"),"",IF($S8="Measured",1+IF($H8="H",IF($M8&gt;=$I8,1,0)+IF($M8&gt;=$J8,1,0)+IF($M8&gt;=$K8,1,0)+IF($M8&gt;=$L8,1,0),IF($M8&lt;=$I8,1,0)+IF($M8&lt;=$J8,1,0)+IF($M8&lt;=$K8,1,0)+IF($M8&lt;=$L8,1,0)),IF($R8&lt;&gt;"",$R8,""))))</f>
        <v/>
      </c>
      <c r="U8" s="15" t="str">
        <f aca="false">IF(OR($S8="",$S8="Gap",$Q8=""),"",IF($Q8&lt;Config!$C$2-Config!$C$3,"STALE",""))</f>
        <v/>
      </c>
      <c r="V8" s="15" t="n">
        <f aca="false">IF(OR(ISNUMBER(SEARCH("ALL",$E8)),ISNUMBER(SEARCH("ADV",$E8))),1,0)</f>
        <v>0</v>
      </c>
      <c r="W8" s="15" t="n">
        <f aca="false">IF(OR(ISNUMBER(SEARCH("ALL",$E8)),ISNUMBER(SEARCH("SMF",$E8))),1,0)</f>
        <v>0</v>
      </c>
      <c r="X8" s="15" t="n">
        <f aca="false">IF(OR(ISNUMBER(SEARCH("ALL",$E8)),ISNUMBER(SEARCH("MKT",$E8))),1,0)</f>
        <v>0</v>
      </c>
      <c r="Y8" s="15" t="n">
        <f aca="false">IF(OR(ISNUMBER(SEARCH("ALL",$E8)),ISNUMBER(SEARCH("SCM",$E8))),1,0)</f>
        <v>0</v>
      </c>
      <c r="Z8" s="15" t="n">
        <f aca="false">IF(OR(ISNUMBER(SEARCH("ALL",$E8)),ISNUMBER(SEARCH("FIN",$E8))),1,0)</f>
        <v>0</v>
      </c>
      <c r="AA8" s="15" t="n">
        <f aca="false">IF(OR(ISNUMBER(SEARCH("ALL",$E8)),ISNUMBER(SEARCH("AGI",$E8))),1,0)</f>
        <v>0</v>
      </c>
    </row>
    <row r="9" customFormat="false" ht="15" hidden="false" customHeight="false" outlineLevel="0" collapsed="false">
      <c r="A9" s="15" t="s">
        <v>152</v>
      </c>
      <c r="B9" s="10" t="s">
        <v>153</v>
      </c>
      <c r="C9" s="15" t="s">
        <v>140</v>
      </c>
      <c r="D9" s="15" t="s">
        <v>141</v>
      </c>
      <c r="E9" s="15" t="s">
        <v>142</v>
      </c>
      <c r="F9" s="15"/>
      <c r="G9" s="15" t="s">
        <v>143</v>
      </c>
      <c r="H9" s="15" t="s">
        <v>149</v>
      </c>
      <c r="I9" s="15" t="n">
        <v>30</v>
      </c>
      <c r="J9" s="15" t="n">
        <v>20</v>
      </c>
      <c r="K9" s="15" t="n">
        <v>12</v>
      </c>
      <c r="L9" s="15" t="n">
        <v>5</v>
      </c>
      <c r="M9" s="16"/>
      <c r="N9" s="16"/>
      <c r="O9" s="16"/>
      <c r="P9" s="11"/>
      <c r="Q9" s="11"/>
      <c r="R9" s="11"/>
      <c r="S9" s="15" t="str">
        <f aca="false">IF($M9="","",IF(ISNUMBER($M9),"Measured",IF(ISNUMBER(SEARCH("DATA GAP",UPPER($M9))),"Gap",IF(AND($N9&lt;&gt;"",$P9&lt;&gt;"T5"),"Documented","Judged"))))</f>
        <v/>
      </c>
      <c r="T9" s="15" t="str">
        <f aca="false">IF($AC9&lt;&gt;"","",IF(OR($S9="",$S9="Gap"),"",IF($S9="Measured",1+IF($H9="H",IF($M9&gt;=$I9,1,0)+IF($M9&gt;=$J9,1,0)+IF($M9&gt;=$K9,1,0)+IF($M9&gt;=$L9,1,0),IF($M9&lt;=$I9,1,0)+IF($M9&lt;=$J9,1,0)+IF($M9&lt;=$K9,1,0)+IF($M9&lt;=$L9,1,0)),IF($R9&lt;&gt;"",$R9,""))))</f>
        <v/>
      </c>
      <c r="U9" s="15" t="str">
        <f aca="false">IF(OR($S9="",$S9="Gap",$Q9=""),"",IF($Q9&lt;Config!$C$2-Config!$C$3,"STALE",""))</f>
        <v/>
      </c>
      <c r="V9" s="15" t="n">
        <f aca="false">IF(OR(ISNUMBER(SEARCH("ALL",$E9)),ISNUMBER(SEARCH("ADV",$E9))),1,0)</f>
        <v>0</v>
      </c>
      <c r="W9" s="15" t="n">
        <f aca="false">IF(OR(ISNUMBER(SEARCH("ALL",$E9)),ISNUMBER(SEARCH("SMF",$E9))),1,0)</f>
        <v>0</v>
      </c>
      <c r="X9" s="15" t="n">
        <f aca="false">IF(OR(ISNUMBER(SEARCH("ALL",$E9)),ISNUMBER(SEARCH("MKT",$E9))),1,0)</f>
        <v>0</v>
      </c>
      <c r="Y9" s="15" t="n">
        <f aca="false">IF(OR(ISNUMBER(SEARCH("ALL",$E9)),ISNUMBER(SEARCH("SCM",$E9))),1,0)</f>
        <v>0</v>
      </c>
      <c r="Z9" s="15" t="n">
        <f aca="false">IF(OR(ISNUMBER(SEARCH("ALL",$E9)),ISNUMBER(SEARCH("FIN",$E9))),1,0)</f>
        <v>0</v>
      </c>
      <c r="AA9" s="15" t="n">
        <f aca="false">IF(OR(ISNUMBER(SEARCH("ALL",$E9)),ISNUMBER(SEARCH("AGI",$E9))),1,0)</f>
        <v>0</v>
      </c>
    </row>
    <row r="10" customFormat="false" ht="15" hidden="false" customHeight="false" outlineLevel="0" collapsed="false">
      <c r="A10" s="15" t="s">
        <v>154</v>
      </c>
      <c r="B10" s="10" t="s">
        <v>155</v>
      </c>
      <c r="C10" s="15" t="s">
        <v>140</v>
      </c>
      <c r="D10" s="15" t="s">
        <v>141</v>
      </c>
      <c r="E10" s="15" t="s">
        <v>156</v>
      </c>
      <c r="F10" s="15"/>
      <c r="G10" s="15" t="s">
        <v>143</v>
      </c>
      <c r="H10" s="15" t="s">
        <v>144</v>
      </c>
      <c r="I10" s="15" t="n">
        <v>20</v>
      </c>
      <c r="J10" s="15" t="n">
        <v>40</v>
      </c>
      <c r="K10" s="15" t="n">
        <v>60</v>
      </c>
      <c r="L10" s="15" t="n">
        <v>80</v>
      </c>
      <c r="M10" s="16"/>
      <c r="N10" s="16"/>
      <c r="O10" s="16"/>
      <c r="P10" s="11"/>
      <c r="Q10" s="11"/>
      <c r="R10" s="11"/>
      <c r="S10" s="15" t="str">
        <f aca="false">IF($M10="","",IF(ISNUMBER($M10),"Measured",IF(ISNUMBER(SEARCH("DATA GAP",UPPER($M10))),"Gap",IF(AND($N10&lt;&gt;"",$P10&lt;&gt;"T5"),"Documented","Judged"))))</f>
        <v/>
      </c>
      <c r="T10" s="15" t="str">
        <f aca="false">IF($AC10&lt;&gt;"","",IF(OR($S10="",$S10="Gap"),"",IF($S10="Measured",1+IF($H10="H",IF($M10&gt;=$I10,1,0)+IF($M10&gt;=$J10,1,0)+IF($M10&gt;=$K10,1,0)+IF($M10&gt;=$L10,1,0),IF($M10&lt;=$I10,1,0)+IF($M10&lt;=$J10,1,0)+IF($M10&lt;=$K10,1,0)+IF($M10&lt;=$L10,1,0)),IF($R10&lt;&gt;"",$R10,""))))</f>
        <v/>
      </c>
      <c r="U10" s="15" t="str">
        <f aca="false">IF(OR($S10="",$S10="Gap",$Q10=""),"",IF($Q10&lt;Config!$C$2-Config!$C$3,"STALE",""))</f>
        <v/>
      </c>
      <c r="V10" s="15" t="n">
        <f aca="false">IF(OR(ISNUMBER(SEARCH("ALL",$E10)),ISNUMBER(SEARCH("ADV",$E10))),1,0)</f>
        <v>0</v>
      </c>
      <c r="W10" s="15" t="n">
        <f aca="false">IF(OR(ISNUMBER(SEARCH("ALL",$E10)),ISNUMBER(SEARCH("SMF",$E10))),1,0)</f>
        <v>0</v>
      </c>
      <c r="X10" s="15" t="n">
        <f aca="false">IF(OR(ISNUMBER(SEARCH("ALL",$E10)),ISNUMBER(SEARCH("MKT",$E10))),1,0)</f>
        <v>1</v>
      </c>
      <c r="Y10" s="15" t="n">
        <f aca="false">IF(OR(ISNUMBER(SEARCH("ALL",$E10)),ISNUMBER(SEARCH("SCM",$E10))),1,0)</f>
        <v>0</v>
      </c>
      <c r="Z10" s="15" t="n">
        <f aca="false">IF(OR(ISNUMBER(SEARCH("ALL",$E10)),ISNUMBER(SEARCH("FIN",$E10))),1,0)</f>
        <v>0</v>
      </c>
      <c r="AA10" s="15" t="n">
        <f aca="false">IF(OR(ISNUMBER(SEARCH("ALL",$E10)),ISNUMBER(SEARCH("AGI",$E10))),1,0)</f>
        <v>0</v>
      </c>
    </row>
    <row r="11" customFormat="false" ht="15" hidden="false" customHeight="false" outlineLevel="0" collapsed="false">
      <c r="A11" s="15" t="s">
        <v>157</v>
      </c>
      <c r="B11" s="10" t="s">
        <v>158</v>
      </c>
      <c r="C11" s="15" t="s">
        <v>140</v>
      </c>
      <c r="D11" s="15" t="s">
        <v>141</v>
      </c>
      <c r="E11" s="15" t="s">
        <v>159</v>
      </c>
      <c r="F11" s="15"/>
      <c r="G11" s="15" t="s">
        <v>143</v>
      </c>
      <c r="H11" s="15" t="s">
        <v>144</v>
      </c>
      <c r="I11" s="15" t="n">
        <v>10</v>
      </c>
      <c r="J11" s="15" t="n">
        <v>25</v>
      </c>
      <c r="K11" s="15" t="n">
        <v>40</v>
      </c>
      <c r="L11" s="15" t="n">
        <v>60</v>
      </c>
      <c r="M11" s="16"/>
      <c r="N11" s="16"/>
      <c r="O11" s="16"/>
      <c r="P11" s="11"/>
      <c r="Q11" s="11"/>
      <c r="R11" s="11"/>
      <c r="S11" s="15" t="str">
        <f aca="false">IF($M11="","",IF(ISNUMBER($M11),"Measured",IF(ISNUMBER(SEARCH("DATA GAP",UPPER($M11))),"Gap",IF(AND($N11&lt;&gt;"",$P11&lt;&gt;"T5"),"Documented","Judged"))))</f>
        <v/>
      </c>
      <c r="T11" s="15" t="str">
        <f aca="false">IF($AC11&lt;&gt;"","",IF(OR($S11="",$S11="Gap"),"",IF($S11="Measured",1+IF($H11="H",IF($M11&gt;=$I11,1,0)+IF($M11&gt;=$J11,1,0)+IF($M11&gt;=$K11,1,0)+IF($M11&gt;=$L11,1,0),IF($M11&lt;=$I11,1,0)+IF($M11&lt;=$J11,1,0)+IF($M11&lt;=$K11,1,0)+IF($M11&lt;=$L11,1,0)),IF($R11&lt;&gt;"",$R11,""))))</f>
        <v/>
      </c>
      <c r="U11" s="15" t="str">
        <f aca="false">IF(OR($S11="",$S11="Gap",$Q11=""),"",IF($Q11&lt;Config!$C$2-Config!$C$3,"STALE",""))</f>
        <v/>
      </c>
      <c r="V11" s="15" t="n">
        <f aca="false">IF(OR(ISNUMBER(SEARCH("ALL",$E11)),ISNUMBER(SEARCH("ADV",$E11))),1,0)</f>
        <v>0</v>
      </c>
      <c r="W11" s="15" t="n">
        <f aca="false">IF(OR(ISNUMBER(SEARCH("ALL",$E11)),ISNUMBER(SEARCH("SMF",$E11))),1,0)</f>
        <v>0</v>
      </c>
      <c r="X11" s="15" t="n">
        <f aca="false">IF(OR(ISNUMBER(SEARCH("ALL",$E11)),ISNUMBER(SEARCH("MKT",$E11))),1,0)</f>
        <v>0</v>
      </c>
      <c r="Y11" s="15" t="n">
        <f aca="false">IF(OR(ISNUMBER(SEARCH("ALL",$E11)),ISNUMBER(SEARCH("SCM",$E11))),1,0)</f>
        <v>0</v>
      </c>
      <c r="Z11" s="15" t="n">
        <f aca="false">IF(OR(ISNUMBER(SEARCH("ALL",$E11)),ISNUMBER(SEARCH("FIN",$E11))),1,0)</f>
        <v>1</v>
      </c>
      <c r="AA11" s="15" t="n">
        <f aca="false">IF(OR(ISNUMBER(SEARCH("ALL",$E11)),ISNUMBER(SEARCH("AGI",$E11))),1,0)</f>
        <v>0</v>
      </c>
    </row>
    <row r="12" customFormat="false" ht="15" hidden="false" customHeight="false" outlineLevel="0" collapsed="false">
      <c r="A12" s="15" t="s">
        <v>160</v>
      </c>
      <c r="B12" s="10" t="s">
        <v>161</v>
      </c>
      <c r="C12" s="15" t="s">
        <v>140</v>
      </c>
      <c r="D12" s="15" t="s">
        <v>141</v>
      </c>
      <c r="E12" s="15" t="s">
        <v>162</v>
      </c>
      <c r="F12" s="15"/>
      <c r="G12" s="15" t="s">
        <v>143</v>
      </c>
      <c r="H12" s="15" t="s">
        <v>144</v>
      </c>
      <c r="I12" s="15" t="n">
        <v>20</v>
      </c>
      <c r="J12" s="15" t="n">
        <v>40</v>
      </c>
      <c r="K12" s="15" t="n">
        <v>60</v>
      </c>
      <c r="L12" s="15" t="n">
        <v>80</v>
      </c>
      <c r="M12" s="16"/>
      <c r="N12" s="16"/>
      <c r="O12" s="16"/>
      <c r="P12" s="11"/>
      <c r="Q12" s="11"/>
      <c r="R12" s="11"/>
      <c r="S12" s="15" t="str">
        <f aca="false">IF($M12="","",IF(ISNUMBER($M12),"Measured",IF(ISNUMBER(SEARCH("DATA GAP",UPPER($M12))),"Gap",IF(AND($N12&lt;&gt;"",$P12&lt;&gt;"T5"),"Documented","Judged"))))</f>
        <v/>
      </c>
      <c r="T12" s="15" t="str">
        <f aca="false">IF($AC12&lt;&gt;"","",IF(OR($S12="",$S12="Gap"),"",IF($S12="Measured",1+IF($H12="H",IF($M12&gt;=$I12,1,0)+IF($M12&gt;=$J12,1,0)+IF($M12&gt;=$K12,1,0)+IF($M12&gt;=$L12,1,0),IF($M12&lt;=$I12,1,0)+IF($M12&lt;=$J12,1,0)+IF($M12&lt;=$K12,1,0)+IF($M12&lt;=$L12,1,0)),IF($R12&lt;&gt;"",$R12,""))))</f>
        <v/>
      </c>
      <c r="U12" s="15" t="str">
        <f aca="false">IF(OR($S12="",$S12="Gap",$Q12=""),"",IF($Q12&lt;Config!$C$2-Config!$C$3,"STALE",""))</f>
        <v/>
      </c>
      <c r="V12" s="15" t="n">
        <f aca="false">IF(OR(ISNUMBER(SEARCH("ALL",$E12)),ISNUMBER(SEARCH("ADV",$E12))),1,0)</f>
        <v>1</v>
      </c>
      <c r="W12" s="15" t="n">
        <f aca="false">IF(OR(ISNUMBER(SEARCH("ALL",$E12)),ISNUMBER(SEARCH("SMF",$E12))),1,0)</f>
        <v>0</v>
      </c>
      <c r="X12" s="15" t="n">
        <f aca="false">IF(OR(ISNUMBER(SEARCH("ALL",$E12)),ISNUMBER(SEARCH("MKT",$E12))),1,0)</f>
        <v>0</v>
      </c>
      <c r="Y12" s="15" t="n">
        <f aca="false">IF(OR(ISNUMBER(SEARCH("ALL",$E12)),ISNUMBER(SEARCH("SCM",$E12))),1,0)</f>
        <v>0</v>
      </c>
      <c r="Z12" s="15" t="n">
        <f aca="false">IF(OR(ISNUMBER(SEARCH("ALL",$E12)),ISNUMBER(SEARCH("FIN",$E12))),1,0)</f>
        <v>0</v>
      </c>
      <c r="AA12" s="15" t="n">
        <f aca="false">IF(OR(ISNUMBER(SEARCH("ALL",$E12)),ISNUMBER(SEARCH("AGI",$E12))),1,0)</f>
        <v>0</v>
      </c>
    </row>
    <row r="13" customFormat="false" ht="15" hidden="false" customHeight="false" outlineLevel="0" collapsed="false">
      <c r="A13" s="15" t="s">
        <v>163</v>
      </c>
      <c r="B13" s="10" t="s">
        <v>164</v>
      </c>
      <c r="C13" s="15" t="s">
        <v>140</v>
      </c>
      <c r="D13" s="15" t="s">
        <v>141</v>
      </c>
      <c r="E13" s="15" t="s">
        <v>142</v>
      </c>
      <c r="F13" s="15"/>
      <c r="G13" s="15" t="s">
        <v>143</v>
      </c>
      <c r="H13" s="15" t="s">
        <v>149</v>
      </c>
      <c r="I13" s="15" t="n">
        <v>25</v>
      </c>
      <c r="J13" s="15" t="n">
        <v>15</v>
      </c>
      <c r="K13" s="15" t="n">
        <v>7.5</v>
      </c>
      <c r="L13" s="15" t="n">
        <v>2.5</v>
      </c>
      <c r="M13" s="16"/>
      <c r="N13" s="16"/>
      <c r="O13" s="16"/>
      <c r="P13" s="11"/>
      <c r="Q13" s="11"/>
      <c r="R13" s="11"/>
      <c r="S13" s="15" t="str">
        <f aca="false">IF($M13="","",IF(ISNUMBER($M13),"Measured",IF(ISNUMBER(SEARCH("DATA GAP",UPPER($M13))),"Gap",IF(AND($N13&lt;&gt;"",$P13&lt;&gt;"T5"),"Documented","Judged"))))</f>
        <v/>
      </c>
      <c r="T13" s="15" t="str">
        <f aca="false">IF($AC13&lt;&gt;"","",IF(OR($S13="",$S13="Gap"),"",IF($S13="Measured",1+IF($H13="H",IF($M13&gt;=$I13,1,0)+IF($M13&gt;=$J13,1,0)+IF($M13&gt;=$K13,1,0)+IF($M13&gt;=$L13,1,0),IF($M13&lt;=$I13,1,0)+IF($M13&lt;=$J13,1,0)+IF($M13&lt;=$K13,1,0)+IF($M13&lt;=$L13,1,0)),IF($R13&lt;&gt;"",$R13,""))))</f>
        <v/>
      </c>
      <c r="U13" s="15" t="str">
        <f aca="false">IF(OR($S13="",$S13="Gap",$Q13=""),"",IF($Q13&lt;Config!$C$2-Config!$C$3,"STALE",""))</f>
        <v/>
      </c>
      <c r="V13" s="15" t="n">
        <f aca="false">IF(OR(ISNUMBER(SEARCH("ALL",$E13)),ISNUMBER(SEARCH("ADV",$E13))),1,0)</f>
        <v>0</v>
      </c>
      <c r="W13" s="15" t="n">
        <f aca="false">IF(OR(ISNUMBER(SEARCH("ALL",$E13)),ISNUMBER(SEARCH("SMF",$E13))),1,0)</f>
        <v>0</v>
      </c>
      <c r="X13" s="15" t="n">
        <f aca="false">IF(OR(ISNUMBER(SEARCH("ALL",$E13)),ISNUMBER(SEARCH("MKT",$E13))),1,0)</f>
        <v>0</v>
      </c>
      <c r="Y13" s="15" t="n">
        <f aca="false">IF(OR(ISNUMBER(SEARCH("ALL",$E13)),ISNUMBER(SEARCH("SCM",$E13))),1,0)</f>
        <v>0</v>
      </c>
      <c r="Z13" s="15" t="n">
        <f aca="false">IF(OR(ISNUMBER(SEARCH("ALL",$E13)),ISNUMBER(SEARCH("FIN",$E13))),1,0)</f>
        <v>0</v>
      </c>
      <c r="AA13" s="15" t="n">
        <f aca="false">IF(OR(ISNUMBER(SEARCH("ALL",$E13)),ISNUMBER(SEARCH("AGI",$E13))),1,0)</f>
        <v>0</v>
      </c>
    </row>
    <row r="14" customFormat="false" ht="15" hidden="false" customHeight="false" outlineLevel="0" collapsed="false">
      <c r="A14" s="15" t="s">
        <v>165</v>
      </c>
      <c r="B14" s="10" t="s">
        <v>166</v>
      </c>
      <c r="C14" s="15" t="s">
        <v>140</v>
      </c>
      <c r="D14" s="15" t="s">
        <v>141</v>
      </c>
      <c r="E14" s="15" t="s">
        <v>167</v>
      </c>
      <c r="F14" s="15"/>
      <c r="G14" s="15" t="s">
        <v>143</v>
      </c>
      <c r="H14" s="15" t="s">
        <v>144</v>
      </c>
      <c r="I14" s="15" t="n">
        <v>10</v>
      </c>
      <c r="J14" s="15" t="n">
        <v>25</v>
      </c>
      <c r="K14" s="15" t="n">
        <v>40</v>
      </c>
      <c r="L14" s="15" t="n">
        <v>50</v>
      </c>
      <c r="M14" s="16"/>
      <c r="N14" s="16"/>
      <c r="O14" s="16"/>
      <c r="P14" s="11"/>
      <c r="Q14" s="11"/>
      <c r="R14" s="11"/>
      <c r="S14" s="15" t="str">
        <f aca="false">IF($M14="","",IF(ISNUMBER($M14),"Measured",IF(ISNUMBER(SEARCH("DATA GAP",UPPER($M14))),"Gap",IF(AND($N14&lt;&gt;"",$P14&lt;&gt;"T5"),"Documented","Judged"))))</f>
        <v/>
      </c>
      <c r="T14" s="15" t="str">
        <f aca="false">IF($AC14&lt;&gt;"","",IF(OR($S14="",$S14="Gap"),"",IF($S14="Measured",1+IF($H14="H",IF($M14&gt;=$I14,1,0)+IF($M14&gt;=$J14,1,0)+IF($M14&gt;=$K14,1,0)+IF($M14&gt;=$L14,1,0),IF($M14&lt;=$I14,1,0)+IF($M14&lt;=$J14,1,0)+IF($M14&lt;=$K14,1,0)+IF($M14&lt;=$L14,1,0)),IF($R14&lt;&gt;"",$R14,""))))</f>
        <v/>
      </c>
      <c r="U14" s="15" t="str">
        <f aca="false">IF(OR($S14="",$S14="Gap",$Q14=""),"",IF($Q14&lt;Config!$C$2-Config!$C$3,"STALE",""))</f>
        <v/>
      </c>
      <c r="V14" s="15" t="n">
        <f aca="false">IF(OR(ISNUMBER(SEARCH("ALL",$E14)),ISNUMBER(SEARCH("ADV",$E14))),1,0)</f>
        <v>0</v>
      </c>
      <c r="W14" s="15" t="n">
        <f aca="false">IF(OR(ISNUMBER(SEARCH("ALL",$E14)),ISNUMBER(SEARCH("SMF",$E14))),1,0)</f>
        <v>0</v>
      </c>
      <c r="X14" s="15" t="n">
        <f aca="false">IF(OR(ISNUMBER(SEARCH("ALL",$E14)),ISNUMBER(SEARCH("MKT",$E14))),1,0)</f>
        <v>0</v>
      </c>
      <c r="Y14" s="15" t="n">
        <f aca="false">IF(OR(ISNUMBER(SEARCH("ALL",$E14)),ISNUMBER(SEARCH("SCM",$E14))),1,0)</f>
        <v>0</v>
      </c>
      <c r="Z14" s="15" t="n">
        <f aca="false">IF(OR(ISNUMBER(SEARCH("ALL",$E14)),ISNUMBER(SEARCH("FIN",$E14))),1,0)</f>
        <v>0</v>
      </c>
      <c r="AA14" s="15" t="n">
        <f aca="false">IF(OR(ISNUMBER(SEARCH("ALL",$E14)),ISNUMBER(SEARCH("AGI",$E14))),1,0)</f>
        <v>0</v>
      </c>
    </row>
    <row r="15" customFormat="false" ht="15" hidden="false" customHeight="false" outlineLevel="0" collapsed="false">
      <c r="A15" s="15" t="s">
        <v>168</v>
      </c>
      <c r="B15" s="10" t="s">
        <v>169</v>
      </c>
      <c r="C15" s="15" t="s">
        <v>170</v>
      </c>
      <c r="D15" s="15" t="s">
        <v>141</v>
      </c>
      <c r="E15" s="15" t="s">
        <v>171</v>
      </c>
      <c r="F15" s="15" t="s">
        <v>172</v>
      </c>
      <c r="G15" s="15" t="s">
        <v>143</v>
      </c>
      <c r="H15" s="15" t="s">
        <v>144</v>
      </c>
      <c r="I15" s="15" t="n">
        <v>20</v>
      </c>
      <c r="J15" s="15" t="n">
        <v>40</v>
      </c>
      <c r="K15" s="15" t="n">
        <v>60</v>
      </c>
      <c r="L15" s="15" t="n">
        <v>80</v>
      </c>
      <c r="M15" s="16"/>
      <c r="N15" s="16"/>
      <c r="O15" s="16"/>
      <c r="P15" s="11"/>
      <c r="Q15" s="11"/>
      <c r="R15" s="11"/>
      <c r="S15" s="15" t="str">
        <f aca="false">IF($M15="","",IF(ISNUMBER($M15),"Measured",IF(ISNUMBER(SEARCH("DATA GAP",UPPER($M15))),"Gap",IF(AND($N15&lt;&gt;"",$P15&lt;&gt;"T5"),"Documented","Judged"))))</f>
        <v/>
      </c>
      <c r="T15" s="15" t="str">
        <f aca="false">IF($AC15&lt;&gt;"","",IF(OR($S15="",$S15="Gap"),"",IF($S15="Measured",1+IF($H15="H",IF($M15&gt;=$I15,1,0)+IF($M15&gt;=$J15,1,0)+IF($M15&gt;=$K15,1,0)+IF($M15&gt;=$L15,1,0),IF($M15&lt;=$I15,1,0)+IF($M15&lt;=$J15,1,0)+IF($M15&lt;=$K15,1,0)+IF($M15&lt;=$L15,1,0)),IF($R15&lt;&gt;"",$R15,""))))</f>
        <v/>
      </c>
      <c r="U15" s="15" t="str">
        <f aca="false">IF(OR($S15="",$S15="Gap",$Q15=""),"",IF($Q15&lt;Config!$C$2-Config!$C$3,"STALE",""))</f>
        <v/>
      </c>
      <c r="V15" s="15" t="n">
        <f aca="false">IF(OR(ISNUMBER(SEARCH("ALL",$E15)),ISNUMBER(SEARCH("ADV",$E15))),1,0)</f>
        <v>1</v>
      </c>
      <c r="W15" s="15" t="n">
        <f aca="false">IF(OR(ISNUMBER(SEARCH("ALL",$E15)),ISNUMBER(SEARCH("SMF",$E15))),1,0)</f>
        <v>1</v>
      </c>
      <c r="X15" s="15" t="n">
        <f aca="false">IF(OR(ISNUMBER(SEARCH("ALL",$E15)),ISNUMBER(SEARCH("MKT",$E15))),1,0)</f>
        <v>1</v>
      </c>
      <c r="Y15" s="15" t="n">
        <f aca="false">IF(OR(ISNUMBER(SEARCH("ALL",$E15)),ISNUMBER(SEARCH("SCM",$E15))),1,0)</f>
        <v>1</v>
      </c>
      <c r="Z15" s="15" t="n">
        <f aca="false">IF(OR(ISNUMBER(SEARCH("ALL",$E15)),ISNUMBER(SEARCH("FIN",$E15))),1,0)</f>
        <v>1</v>
      </c>
      <c r="AA15" s="15" t="n">
        <f aca="false">IF(OR(ISNUMBER(SEARCH("ALL",$E15)),ISNUMBER(SEARCH("AGI",$E15))),1,0)</f>
        <v>1</v>
      </c>
    </row>
    <row r="16" customFormat="false" ht="15" hidden="false" customHeight="false" outlineLevel="0" collapsed="false">
      <c r="A16" s="15" t="s">
        <v>173</v>
      </c>
      <c r="B16" s="10" t="s">
        <v>174</v>
      </c>
      <c r="C16" s="15" t="s">
        <v>170</v>
      </c>
      <c r="D16" s="15" t="s">
        <v>141</v>
      </c>
      <c r="E16" s="15" t="s">
        <v>171</v>
      </c>
      <c r="F16" s="15"/>
      <c r="G16" s="15" t="s">
        <v>143</v>
      </c>
      <c r="H16" s="15" t="s">
        <v>144</v>
      </c>
      <c r="I16" s="15" t="n">
        <v>20</v>
      </c>
      <c r="J16" s="15" t="n">
        <v>40</v>
      </c>
      <c r="K16" s="15" t="n">
        <v>60</v>
      </c>
      <c r="L16" s="15" t="n">
        <v>80</v>
      </c>
      <c r="M16" s="16"/>
      <c r="N16" s="16"/>
      <c r="O16" s="16"/>
      <c r="P16" s="11"/>
      <c r="Q16" s="11"/>
      <c r="R16" s="11"/>
      <c r="S16" s="15" t="str">
        <f aca="false">IF($M16="","",IF(ISNUMBER($M16),"Measured",IF(ISNUMBER(SEARCH("DATA GAP",UPPER($M16))),"Gap",IF(AND($N16&lt;&gt;"",$P16&lt;&gt;"T5"),"Documented","Judged"))))</f>
        <v/>
      </c>
      <c r="T16" s="15" t="str">
        <f aca="false">IF($AC16&lt;&gt;"","",IF(OR($S16="",$S16="Gap"),"",IF($S16="Measured",1+IF($H16="H",IF($M16&gt;=$I16,1,0)+IF($M16&gt;=$J16,1,0)+IF($M16&gt;=$K16,1,0)+IF($M16&gt;=$L16,1,0),IF($M16&lt;=$I16,1,0)+IF($M16&lt;=$J16,1,0)+IF($M16&lt;=$K16,1,0)+IF($M16&lt;=$L16,1,0)),IF($R16&lt;&gt;"",$R16,""))))</f>
        <v/>
      </c>
      <c r="U16" s="15" t="str">
        <f aca="false">IF(OR($S16="",$S16="Gap",$Q16=""),"",IF($Q16&lt;Config!$C$2-Config!$C$3,"STALE",""))</f>
        <v/>
      </c>
      <c r="V16" s="15" t="n">
        <f aca="false">IF(OR(ISNUMBER(SEARCH("ALL",$E16)),ISNUMBER(SEARCH("ADV",$E16))),1,0)</f>
        <v>1</v>
      </c>
      <c r="W16" s="15" t="n">
        <f aca="false">IF(OR(ISNUMBER(SEARCH("ALL",$E16)),ISNUMBER(SEARCH("SMF",$E16))),1,0)</f>
        <v>1</v>
      </c>
      <c r="X16" s="15" t="n">
        <f aca="false">IF(OR(ISNUMBER(SEARCH("ALL",$E16)),ISNUMBER(SEARCH("MKT",$E16))),1,0)</f>
        <v>1</v>
      </c>
      <c r="Y16" s="15" t="n">
        <f aca="false">IF(OR(ISNUMBER(SEARCH("ALL",$E16)),ISNUMBER(SEARCH("SCM",$E16))),1,0)</f>
        <v>1</v>
      </c>
      <c r="Z16" s="15" t="n">
        <f aca="false">IF(OR(ISNUMBER(SEARCH("ALL",$E16)),ISNUMBER(SEARCH("FIN",$E16))),1,0)</f>
        <v>1</v>
      </c>
      <c r="AA16" s="15" t="n">
        <f aca="false">IF(OR(ISNUMBER(SEARCH("ALL",$E16)),ISNUMBER(SEARCH("AGI",$E16))),1,0)</f>
        <v>1</v>
      </c>
    </row>
    <row r="17" customFormat="false" ht="15" hidden="false" customHeight="false" outlineLevel="0" collapsed="false">
      <c r="A17" s="15" t="s">
        <v>175</v>
      </c>
      <c r="B17" s="10" t="s">
        <v>176</v>
      </c>
      <c r="C17" s="15" t="s">
        <v>170</v>
      </c>
      <c r="D17" s="15" t="s">
        <v>141</v>
      </c>
      <c r="E17" s="15" t="s">
        <v>171</v>
      </c>
      <c r="F17" s="15"/>
      <c r="G17" s="15" t="s">
        <v>143</v>
      </c>
      <c r="H17" s="15" t="s">
        <v>149</v>
      </c>
      <c r="I17" s="15" t="n">
        <v>10</v>
      </c>
      <c r="J17" s="15" t="n">
        <v>5</v>
      </c>
      <c r="K17" s="15" t="n">
        <v>2</v>
      </c>
      <c r="L17" s="15" t="n">
        <v>1</v>
      </c>
      <c r="M17" s="16"/>
      <c r="N17" s="16"/>
      <c r="O17" s="16"/>
      <c r="P17" s="11"/>
      <c r="Q17" s="11"/>
      <c r="R17" s="11"/>
      <c r="S17" s="15" t="str">
        <f aca="false">IF($M17="","",IF(ISNUMBER($M17),"Measured",IF(ISNUMBER(SEARCH("DATA GAP",UPPER($M17))),"Gap",IF(AND($N17&lt;&gt;"",$P17&lt;&gt;"T5"),"Documented","Judged"))))</f>
        <v/>
      </c>
      <c r="T17" s="15" t="str">
        <f aca="false">IF($AC17&lt;&gt;"","",IF(OR($S17="",$S17="Gap"),"",IF($S17="Measured",1+IF($H17="H",IF($M17&gt;=$I17,1,0)+IF($M17&gt;=$J17,1,0)+IF($M17&gt;=$K17,1,0)+IF($M17&gt;=$L17,1,0),IF($M17&lt;=$I17,1,0)+IF($M17&lt;=$J17,1,0)+IF($M17&lt;=$K17,1,0)+IF($M17&lt;=$L17,1,0)),IF($R17&lt;&gt;"",$R17,""))))</f>
        <v/>
      </c>
      <c r="U17" s="15" t="str">
        <f aca="false">IF(OR($S17="",$S17="Gap",$Q17=""),"",IF($Q17&lt;Config!$C$2-Config!$C$3,"STALE",""))</f>
        <v/>
      </c>
      <c r="V17" s="15" t="n">
        <f aca="false">IF(OR(ISNUMBER(SEARCH("ALL",$E17)),ISNUMBER(SEARCH("ADV",$E17))),1,0)</f>
        <v>1</v>
      </c>
      <c r="W17" s="15" t="n">
        <f aca="false">IF(OR(ISNUMBER(SEARCH("ALL",$E17)),ISNUMBER(SEARCH("SMF",$E17))),1,0)</f>
        <v>1</v>
      </c>
      <c r="X17" s="15" t="n">
        <f aca="false">IF(OR(ISNUMBER(SEARCH("ALL",$E17)),ISNUMBER(SEARCH("MKT",$E17))),1,0)</f>
        <v>1</v>
      </c>
      <c r="Y17" s="15" t="n">
        <f aca="false">IF(OR(ISNUMBER(SEARCH("ALL",$E17)),ISNUMBER(SEARCH("SCM",$E17))),1,0)</f>
        <v>1</v>
      </c>
      <c r="Z17" s="15" t="n">
        <f aca="false">IF(OR(ISNUMBER(SEARCH("ALL",$E17)),ISNUMBER(SEARCH("FIN",$E17))),1,0)</f>
        <v>1</v>
      </c>
      <c r="AA17" s="15" t="n">
        <f aca="false">IF(OR(ISNUMBER(SEARCH("ALL",$E17)),ISNUMBER(SEARCH("AGI",$E17))),1,0)</f>
        <v>1</v>
      </c>
    </row>
    <row r="18" customFormat="false" ht="15" hidden="false" customHeight="false" outlineLevel="0" collapsed="false">
      <c r="A18" s="15" t="s">
        <v>177</v>
      </c>
      <c r="B18" s="10" t="s">
        <v>178</v>
      </c>
      <c r="C18" s="15" t="s">
        <v>170</v>
      </c>
      <c r="D18" s="15" t="s">
        <v>141</v>
      </c>
      <c r="E18" s="15" t="s">
        <v>171</v>
      </c>
      <c r="F18" s="15"/>
      <c r="G18" s="15" t="s">
        <v>143</v>
      </c>
      <c r="H18" s="15" t="s">
        <v>144</v>
      </c>
      <c r="I18" s="15" t="n">
        <v>20</v>
      </c>
      <c r="J18" s="15" t="n">
        <v>40</v>
      </c>
      <c r="K18" s="15" t="n">
        <v>60</v>
      </c>
      <c r="L18" s="15" t="n">
        <v>80</v>
      </c>
      <c r="M18" s="16"/>
      <c r="N18" s="16"/>
      <c r="O18" s="16"/>
      <c r="P18" s="11"/>
      <c r="Q18" s="11"/>
      <c r="R18" s="11"/>
      <c r="S18" s="15" t="str">
        <f aca="false">IF($M18="","",IF(ISNUMBER($M18),"Measured",IF(ISNUMBER(SEARCH("DATA GAP",UPPER($M18))),"Gap",IF(AND($N18&lt;&gt;"",$P18&lt;&gt;"T5"),"Documented","Judged"))))</f>
        <v/>
      </c>
      <c r="T18" s="15" t="str">
        <f aca="false">IF($AC18&lt;&gt;"","",IF(OR($S18="",$S18="Gap"),"",IF($S18="Measured",1+IF($H18="H",IF($M18&gt;=$I18,1,0)+IF($M18&gt;=$J18,1,0)+IF($M18&gt;=$K18,1,0)+IF($M18&gt;=$L18,1,0),IF($M18&lt;=$I18,1,0)+IF($M18&lt;=$J18,1,0)+IF($M18&lt;=$K18,1,0)+IF($M18&lt;=$L18,1,0)),IF($R18&lt;&gt;"",$R18,""))))</f>
        <v/>
      </c>
      <c r="U18" s="15" t="str">
        <f aca="false">IF(OR($S18="",$S18="Gap",$Q18=""),"",IF($Q18&lt;Config!$C$2-Config!$C$3,"STALE",""))</f>
        <v/>
      </c>
      <c r="V18" s="15" t="n">
        <f aca="false">IF(OR(ISNUMBER(SEARCH("ALL",$E18)),ISNUMBER(SEARCH("ADV",$E18))),1,0)</f>
        <v>1</v>
      </c>
      <c r="W18" s="15" t="n">
        <f aca="false">IF(OR(ISNUMBER(SEARCH("ALL",$E18)),ISNUMBER(SEARCH("SMF",$E18))),1,0)</f>
        <v>1</v>
      </c>
      <c r="X18" s="15" t="n">
        <f aca="false">IF(OR(ISNUMBER(SEARCH("ALL",$E18)),ISNUMBER(SEARCH("MKT",$E18))),1,0)</f>
        <v>1</v>
      </c>
      <c r="Y18" s="15" t="n">
        <f aca="false">IF(OR(ISNUMBER(SEARCH("ALL",$E18)),ISNUMBER(SEARCH("SCM",$E18))),1,0)</f>
        <v>1</v>
      </c>
      <c r="Z18" s="15" t="n">
        <f aca="false">IF(OR(ISNUMBER(SEARCH("ALL",$E18)),ISNUMBER(SEARCH("FIN",$E18))),1,0)</f>
        <v>1</v>
      </c>
      <c r="AA18" s="15" t="n">
        <f aca="false">IF(OR(ISNUMBER(SEARCH("ALL",$E18)),ISNUMBER(SEARCH("AGI",$E18))),1,0)</f>
        <v>1</v>
      </c>
    </row>
    <row r="19" customFormat="false" ht="15" hidden="false" customHeight="false" outlineLevel="0" collapsed="false">
      <c r="A19" s="15" t="s">
        <v>179</v>
      </c>
      <c r="B19" s="10" t="s">
        <v>180</v>
      </c>
      <c r="C19" s="15" t="s">
        <v>170</v>
      </c>
      <c r="D19" s="15" t="s">
        <v>141</v>
      </c>
      <c r="E19" s="15" t="s">
        <v>171</v>
      </c>
      <c r="F19" s="15" t="s">
        <v>172</v>
      </c>
      <c r="G19" s="15" t="s">
        <v>143</v>
      </c>
      <c r="H19" s="15" t="s">
        <v>144</v>
      </c>
      <c r="I19" s="15" t="n">
        <v>20</v>
      </c>
      <c r="J19" s="15" t="n">
        <v>40</v>
      </c>
      <c r="K19" s="15" t="n">
        <v>60</v>
      </c>
      <c r="L19" s="15" t="n">
        <v>80</v>
      </c>
      <c r="M19" s="16"/>
      <c r="N19" s="16"/>
      <c r="O19" s="16"/>
      <c r="P19" s="11"/>
      <c r="Q19" s="11"/>
      <c r="R19" s="11"/>
      <c r="S19" s="15" t="str">
        <f aca="false">IF($M19="","",IF(ISNUMBER($M19),"Measured",IF(ISNUMBER(SEARCH("DATA GAP",UPPER($M19))),"Gap",IF(AND($N19&lt;&gt;"",$P19&lt;&gt;"T5"),"Documented","Judged"))))</f>
        <v/>
      </c>
      <c r="T19" s="15" t="str">
        <f aca="false">IF($AC19&lt;&gt;"","",IF(OR($S19="",$S19="Gap"),"",IF($S19="Measured",1+IF($H19="H",IF($M19&gt;=$I19,1,0)+IF($M19&gt;=$J19,1,0)+IF($M19&gt;=$K19,1,0)+IF($M19&gt;=$L19,1,0),IF($M19&lt;=$I19,1,0)+IF($M19&lt;=$J19,1,0)+IF($M19&lt;=$K19,1,0)+IF($M19&lt;=$L19,1,0)),IF($R19&lt;&gt;"",$R19,""))))</f>
        <v/>
      </c>
      <c r="U19" s="15" t="str">
        <f aca="false">IF(OR($S19="",$S19="Gap",$Q19=""),"",IF($Q19&lt;Config!$C$2-Config!$C$3,"STALE",""))</f>
        <v/>
      </c>
      <c r="V19" s="15" t="n">
        <f aca="false">IF(OR(ISNUMBER(SEARCH("ALL",$E19)),ISNUMBER(SEARCH("ADV",$E19))),1,0)</f>
        <v>1</v>
      </c>
      <c r="W19" s="15" t="n">
        <f aca="false">IF(OR(ISNUMBER(SEARCH("ALL",$E19)),ISNUMBER(SEARCH("SMF",$E19))),1,0)</f>
        <v>1</v>
      </c>
      <c r="X19" s="15" t="n">
        <f aca="false">IF(OR(ISNUMBER(SEARCH("ALL",$E19)),ISNUMBER(SEARCH("MKT",$E19))),1,0)</f>
        <v>1</v>
      </c>
      <c r="Y19" s="15" t="n">
        <f aca="false">IF(OR(ISNUMBER(SEARCH("ALL",$E19)),ISNUMBER(SEARCH("SCM",$E19))),1,0)</f>
        <v>1</v>
      </c>
      <c r="Z19" s="15" t="n">
        <f aca="false">IF(OR(ISNUMBER(SEARCH("ALL",$E19)),ISNUMBER(SEARCH("FIN",$E19))),1,0)</f>
        <v>1</v>
      </c>
      <c r="AA19" s="15" t="n">
        <f aca="false">IF(OR(ISNUMBER(SEARCH("ALL",$E19)),ISNUMBER(SEARCH("AGI",$E19))),1,0)</f>
        <v>1</v>
      </c>
    </row>
    <row r="20" customFormat="false" ht="15" hidden="false" customHeight="false" outlineLevel="0" collapsed="false">
      <c r="A20" s="15" t="s">
        <v>181</v>
      </c>
      <c r="B20" s="10" t="s">
        <v>182</v>
      </c>
      <c r="C20" s="15" t="s">
        <v>170</v>
      </c>
      <c r="D20" s="15" t="s">
        <v>141</v>
      </c>
      <c r="E20" s="15" t="s">
        <v>171</v>
      </c>
      <c r="F20" s="15"/>
      <c r="G20" s="15" t="s">
        <v>149</v>
      </c>
      <c r="H20" s="15"/>
      <c r="M20" s="16"/>
      <c r="N20" s="16"/>
      <c r="O20" s="16"/>
      <c r="P20" s="11"/>
      <c r="Q20" s="11"/>
      <c r="R20" s="11"/>
      <c r="S20" s="15" t="str">
        <f aca="false">IF($M20="","",IF(ISNUMBER($M20),"Measured",IF(ISNUMBER(SEARCH("DATA GAP",UPPER($M20))),"Gap",IF(AND($N20&lt;&gt;"",$P20&lt;&gt;"T5"),"Documented","Judged"))))</f>
        <v/>
      </c>
      <c r="T20" s="15" t="str">
        <f aca="false">IF($AC20&lt;&gt;"","",IF(OR($S20="",$S20="Gap"),"",IF($S20="Measured",1+IF($H20="H",IF($M20&gt;=$I20,1,0)+IF($M20&gt;=$J20,1,0)+IF($M20&gt;=$K20,1,0)+IF($M20&gt;=$L20,1,0),IF($M20&lt;=$I20,1,0)+IF($M20&lt;=$J20,1,0)+IF($M20&lt;=$K20,1,0)+IF($M20&lt;=$L20,1,0)),IF($R20&lt;&gt;"",$R20,""))))</f>
        <v/>
      </c>
      <c r="U20" s="15" t="str">
        <f aca="false">IF(OR($S20="",$S20="Gap",$Q20=""),"",IF($Q20&lt;Config!$C$2-Config!$C$3,"STALE",""))</f>
        <v/>
      </c>
      <c r="V20" s="15" t="n">
        <f aca="false">IF(OR(ISNUMBER(SEARCH("ALL",$E20)),ISNUMBER(SEARCH("ADV",$E20))),1,0)</f>
        <v>1</v>
      </c>
      <c r="W20" s="15" t="n">
        <f aca="false">IF(OR(ISNUMBER(SEARCH("ALL",$E20)),ISNUMBER(SEARCH("SMF",$E20))),1,0)</f>
        <v>1</v>
      </c>
      <c r="X20" s="15" t="n">
        <f aca="false">IF(OR(ISNUMBER(SEARCH("ALL",$E20)),ISNUMBER(SEARCH("MKT",$E20))),1,0)</f>
        <v>1</v>
      </c>
      <c r="Y20" s="15" t="n">
        <f aca="false">IF(OR(ISNUMBER(SEARCH("ALL",$E20)),ISNUMBER(SEARCH("SCM",$E20))),1,0)</f>
        <v>1</v>
      </c>
      <c r="Z20" s="15" t="n">
        <f aca="false">IF(OR(ISNUMBER(SEARCH("ALL",$E20)),ISNUMBER(SEARCH("FIN",$E20))),1,0)</f>
        <v>1</v>
      </c>
      <c r="AA20" s="15" t="n">
        <f aca="false">IF(OR(ISNUMBER(SEARCH("ALL",$E20)),ISNUMBER(SEARCH("AGI",$E20))),1,0)</f>
        <v>1</v>
      </c>
    </row>
    <row r="21" customFormat="false" ht="15" hidden="false" customHeight="false" outlineLevel="0" collapsed="false">
      <c r="A21" s="15" t="s">
        <v>183</v>
      </c>
      <c r="B21" s="10" t="s">
        <v>184</v>
      </c>
      <c r="C21" s="15" t="s">
        <v>185</v>
      </c>
      <c r="D21" s="15" t="s">
        <v>186</v>
      </c>
      <c r="E21" s="15" t="s">
        <v>187</v>
      </c>
      <c r="F21" s="15"/>
      <c r="G21" s="15" t="s">
        <v>143</v>
      </c>
      <c r="H21" s="15" t="s">
        <v>144</v>
      </c>
      <c r="I21" s="15" t="n">
        <v>0.2</v>
      </c>
      <c r="J21" s="15" t="n">
        <v>0.4</v>
      </c>
      <c r="K21" s="15" t="n">
        <v>0.6</v>
      </c>
      <c r="L21" s="15" t="n">
        <v>0.8</v>
      </c>
      <c r="M21" s="16"/>
      <c r="N21" s="16"/>
      <c r="O21" s="16"/>
      <c r="P21" s="11"/>
      <c r="Q21" s="11"/>
      <c r="R21" s="11"/>
      <c r="S21" s="15" t="str">
        <f aca="false">IF($M21="","",IF(ISNUMBER($M21),"Measured",IF(ISNUMBER(SEARCH("DATA GAP",UPPER($M21))),"Gap",IF(AND($N21&lt;&gt;"",$P21&lt;&gt;"T5"),"Documented","Judged"))))</f>
        <v/>
      </c>
      <c r="T21" s="15" t="str">
        <f aca="false">IF($AC21&lt;&gt;"","",IF(OR($S21="",$S21="Gap"),"",IF($S21="Measured",1+IF($H21="H",IF($M21&gt;=$I21,1,0)+IF($M21&gt;=$J21,1,0)+IF($M21&gt;=$K21,1,0)+IF($M21&gt;=$L21,1,0),IF($M21&lt;=$I21,1,0)+IF($M21&lt;=$J21,1,0)+IF($M21&lt;=$K21,1,0)+IF($M21&lt;=$L21,1,0)),IF($R21&lt;&gt;"",$R21,""))))</f>
        <v/>
      </c>
      <c r="U21" s="15" t="str">
        <f aca="false">IF(OR($S21="",$S21="Gap",$Q21=""),"",IF($Q21&lt;Config!$C$2-Config!$C$3,"STALE",""))</f>
        <v/>
      </c>
      <c r="V21" s="15" t="n">
        <f aca="false">IF(OR(ISNUMBER(SEARCH("ALL",$E21)),ISNUMBER(SEARCH("ADV",$E21))),1,0)</f>
        <v>1</v>
      </c>
      <c r="W21" s="15" t="n">
        <f aca="false">IF(OR(ISNUMBER(SEARCH("ALL",$E21)),ISNUMBER(SEARCH("SMF",$E21))),1,0)</f>
        <v>1</v>
      </c>
      <c r="X21" s="15" t="n">
        <f aca="false">IF(OR(ISNUMBER(SEARCH("ALL",$E21)),ISNUMBER(SEARCH("MKT",$E21))),1,0)</f>
        <v>1</v>
      </c>
      <c r="Y21" s="15" t="n">
        <f aca="false">IF(OR(ISNUMBER(SEARCH("ALL",$E21)),ISNUMBER(SEARCH("SCM",$E21))),1,0)</f>
        <v>1</v>
      </c>
      <c r="Z21" s="15" t="n">
        <f aca="false">IF(OR(ISNUMBER(SEARCH("ALL",$E21)),ISNUMBER(SEARCH("FIN",$E21))),1,0)</f>
        <v>1</v>
      </c>
      <c r="AA21" s="15" t="n">
        <f aca="false">IF(OR(ISNUMBER(SEARCH("ALL",$E21)),ISNUMBER(SEARCH("AGI",$E21))),1,0)</f>
        <v>1</v>
      </c>
    </row>
    <row r="22" customFormat="false" ht="15" hidden="false" customHeight="false" outlineLevel="0" collapsed="false">
      <c r="A22" s="15" t="s">
        <v>188</v>
      </c>
      <c r="B22" s="10" t="s">
        <v>189</v>
      </c>
      <c r="C22" s="15" t="s">
        <v>185</v>
      </c>
      <c r="D22" s="15" t="s">
        <v>186</v>
      </c>
      <c r="E22" s="15" t="s">
        <v>190</v>
      </c>
      <c r="F22" s="15" t="s">
        <v>191</v>
      </c>
      <c r="G22" s="15" t="s">
        <v>149</v>
      </c>
      <c r="H22" s="15"/>
      <c r="M22" s="16"/>
      <c r="N22" s="16"/>
      <c r="O22" s="16"/>
      <c r="P22" s="11"/>
      <c r="Q22" s="11"/>
      <c r="R22" s="11"/>
      <c r="S22" s="15" t="str">
        <f aca="false">IF($M22="","",IF(ISNUMBER($M22),"Measured",IF(ISNUMBER(SEARCH("DATA GAP",UPPER($M22))),"Gap",IF(AND($N22&lt;&gt;"",$P22&lt;&gt;"T5"),"Documented","Judged"))))</f>
        <v/>
      </c>
      <c r="T22" s="15" t="str">
        <f aca="false">IF($AC22&lt;&gt;"","",IF(OR($S22="",$S22="Gap"),"",IF($S22="Measured",1+IF($H22="H",IF($M22&gt;=$I22,1,0)+IF($M22&gt;=$J22,1,0)+IF($M22&gt;=$K22,1,0)+IF($M22&gt;=$L22,1,0),IF($M22&lt;=$I22,1,0)+IF($M22&lt;=$J22,1,0)+IF($M22&lt;=$K22,1,0)+IF($M22&lt;=$L22,1,0)),IF($R22&lt;&gt;"",$R22,""))))</f>
        <v/>
      </c>
      <c r="U22" s="15" t="str">
        <f aca="false">IF(OR($S22="",$S22="Gap",$Q22=""),"",IF($Q22&lt;Config!$C$2-Config!$C$3,"STALE",""))</f>
        <v/>
      </c>
      <c r="V22" s="15" t="n">
        <f aca="false">IF(OR(ISNUMBER(SEARCH("ALL",$E22)),ISNUMBER(SEARCH("ADV",$E22))),1,0)</f>
        <v>1</v>
      </c>
      <c r="W22" s="15" t="n">
        <f aca="false">IF(OR(ISNUMBER(SEARCH("ALL",$E22)),ISNUMBER(SEARCH("SMF",$E22))),1,0)</f>
        <v>0</v>
      </c>
      <c r="X22" s="15" t="n">
        <f aca="false">IF(OR(ISNUMBER(SEARCH("ALL",$E22)),ISNUMBER(SEARCH("MKT",$E22))),1,0)</f>
        <v>0</v>
      </c>
      <c r="Y22" s="15" t="n">
        <f aca="false">IF(OR(ISNUMBER(SEARCH("ALL",$E22)),ISNUMBER(SEARCH("SCM",$E22))),1,0)</f>
        <v>0</v>
      </c>
      <c r="Z22" s="15" t="n">
        <f aca="false">IF(OR(ISNUMBER(SEARCH("ALL",$E22)),ISNUMBER(SEARCH("FIN",$E22))),1,0)</f>
        <v>1</v>
      </c>
      <c r="AA22" s="15" t="n">
        <f aca="false">IF(OR(ISNUMBER(SEARCH("ALL",$E22)),ISNUMBER(SEARCH("AGI",$E22))),1,0)</f>
        <v>1</v>
      </c>
    </row>
    <row r="23" customFormat="false" ht="15" hidden="false" customHeight="false" outlineLevel="0" collapsed="false">
      <c r="A23" s="15" t="s">
        <v>192</v>
      </c>
      <c r="B23" s="10" t="s">
        <v>193</v>
      </c>
      <c r="C23" s="15" t="s">
        <v>185</v>
      </c>
      <c r="D23" s="15" t="s">
        <v>186</v>
      </c>
      <c r="E23" s="15" t="s">
        <v>194</v>
      </c>
      <c r="F23" s="15"/>
      <c r="G23" s="15" t="s">
        <v>149</v>
      </c>
      <c r="H23" s="15"/>
      <c r="M23" s="16"/>
      <c r="N23" s="16"/>
      <c r="O23" s="16"/>
      <c r="P23" s="11"/>
      <c r="Q23" s="11"/>
      <c r="R23" s="11"/>
      <c r="S23" s="15" t="str">
        <f aca="false">IF($M23="","",IF(ISNUMBER($M23),"Measured",IF(ISNUMBER(SEARCH("DATA GAP",UPPER($M23))),"Gap",IF(AND($N23&lt;&gt;"",$P23&lt;&gt;"T5"),"Documented","Judged"))))</f>
        <v/>
      </c>
      <c r="T23" s="15" t="str">
        <f aca="false">IF($AC23&lt;&gt;"","",IF(OR($S23="",$S23="Gap"),"",IF($S23="Measured",1+IF($H23="H",IF($M23&gt;=$I23,1,0)+IF($M23&gt;=$J23,1,0)+IF($M23&gt;=$K23,1,0)+IF($M23&gt;=$L23,1,0),IF($M23&lt;=$I23,1,0)+IF($M23&lt;=$J23,1,0)+IF($M23&lt;=$K23,1,0)+IF($M23&lt;=$L23,1,0)),IF($R23&lt;&gt;"",$R23,""))))</f>
        <v/>
      </c>
      <c r="U23" s="15" t="str">
        <f aca="false">IF(OR($S23="",$S23="Gap",$Q23=""),"",IF($Q23&lt;Config!$C$2-Config!$C$3,"STALE",""))</f>
        <v/>
      </c>
      <c r="V23" s="15" t="n">
        <f aca="false">IF(OR(ISNUMBER(SEARCH("ALL",$E23)),ISNUMBER(SEARCH("ADV",$E23))),1,0)</f>
        <v>0</v>
      </c>
      <c r="W23" s="15" t="n">
        <f aca="false">IF(OR(ISNUMBER(SEARCH("ALL",$E23)),ISNUMBER(SEARCH("SMF",$E23))),1,0)</f>
        <v>0</v>
      </c>
      <c r="X23" s="15" t="n">
        <f aca="false">IF(OR(ISNUMBER(SEARCH("ALL",$E23)),ISNUMBER(SEARCH("MKT",$E23))),1,0)</f>
        <v>0</v>
      </c>
      <c r="Y23" s="15" t="n">
        <f aca="false">IF(OR(ISNUMBER(SEARCH("ALL",$E23)),ISNUMBER(SEARCH("SCM",$E23))),1,0)</f>
        <v>0</v>
      </c>
      <c r="Z23" s="15" t="n">
        <f aca="false">IF(OR(ISNUMBER(SEARCH("ALL",$E23)),ISNUMBER(SEARCH("FIN",$E23))),1,0)</f>
        <v>1</v>
      </c>
      <c r="AA23" s="15" t="n">
        <f aca="false">IF(OR(ISNUMBER(SEARCH("ALL",$E23)),ISNUMBER(SEARCH("AGI",$E23))),1,0)</f>
        <v>1</v>
      </c>
    </row>
    <row r="24" customFormat="false" ht="15" hidden="false" customHeight="false" outlineLevel="0" collapsed="false">
      <c r="A24" s="15" t="s">
        <v>195</v>
      </c>
      <c r="B24" s="10" t="s">
        <v>196</v>
      </c>
      <c r="C24" s="15" t="s">
        <v>185</v>
      </c>
      <c r="D24" s="15" t="s">
        <v>186</v>
      </c>
      <c r="E24" s="15" t="s">
        <v>197</v>
      </c>
      <c r="F24" s="15"/>
      <c r="G24" s="15" t="s">
        <v>149</v>
      </c>
      <c r="H24" s="15"/>
      <c r="M24" s="16"/>
      <c r="N24" s="16"/>
      <c r="O24" s="16"/>
      <c r="P24" s="11"/>
      <c r="Q24" s="11"/>
      <c r="R24" s="11"/>
      <c r="S24" s="15" t="str">
        <f aca="false">IF($M24="","",IF(ISNUMBER($M24),"Measured",IF(ISNUMBER(SEARCH("DATA GAP",UPPER($M24))),"Gap",IF(AND($N24&lt;&gt;"",$P24&lt;&gt;"T5"),"Documented","Judged"))))</f>
        <v/>
      </c>
      <c r="T24" s="15" t="str">
        <f aca="false">IF($AC24&lt;&gt;"","",IF(OR($S24="",$S24="Gap"),"",IF($S24="Measured",1+IF($H24="H",IF($M24&gt;=$I24,1,0)+IF($M24&gt;=$J24,1,0)+IF($M24&gt;=$K24,1,0)+IF($M24&gt;=$L24,1,0),IF($M24&lt;=$I24,1,0)+IF($M24&lt;=$J24,1,0)+IF($M24&lt;=$K24,1,0)+IF($M24&lt;=$L24,1,0)),IF($R24&lt;&gt;"",$R24,""))))</f>
        <v/>
      </c>
      <c r="U24" s="15" t="str">
        <f aca="false">IF(OR($S24="",$S24="Gap",$Q24=""),"",IF($Q24&lt;Config!$C$2-Config!$C$3,"STALE",""))</f>
        <v/>
      </c>
      <c r="V24" s="15" t="n">
        <f aca="false">IF(OR(ISNUMBER(SEARCH("ALL",$E24)),ISNUMBER(SEARCH("ADV",$E24))),1,0)</f>
        <v>1</v>
      </c>
      <c r="W24" s="15" t="n">
        <f aca="false">IF(OR(ISNUMBER(SEARCH("ALL",$E24)),ISNUMBER(SEARCH("SMF",$E24))),1,0)</f>
        <v>1</v>
      </c>
      <c r="X24" s="15" t="n">
        <f aca="false">IF(OR(ISNUMBER(SEARCH("ALL",$E24)),ISNUMBER(SEARCH("MKT",$E24))),1,0)</f>
        <v>0</v>
      </c>
      <c r="Y24" s="15" t="n">
        <f aca="false">IF(OR(ISNUMBER(SEARCH("ALL",$E24)),ISNUMBER(SEARCH("SCM",$E24))),1,0)</f>
        <v>0</v>
      </c>
      <c r="Z24" s="15" t="n">
        <f aca="false">IF(OR(ISNUMBER(SEARCH("ALL",$E24)),ISNUMBER(SEARCH("FIN",$E24))),1,0)</f>
        <v>0</v>
      </c>
      <c r="AA24" s="15" t="n">
        <f aca="false">IF(OR(ISNUMBER(SEARCH("ALL",$E24)),ISNUMBER(SEARCH("AGI",$E24))),1,0)</f>
        <v>1</v>
      </c>
    </row>
    <row r="25" customFormat="false" ht="15" hidden="false" customHeight="false" outlineLevel="0" collapsed="false">
      <c r="A25" s="15" t="s">
        <v>198</v>
      </c>
      <c r="B25" s="10" t="s">
        <v>199</v>
      </c>
      <c r="C25" s="15" t="s">
        <v>185</v>
      </c>
      <c r="D25" s="15" t="s">
        <v>186</v>
      </c>
      <c r="E25" s="15" t="s">
        <v>200</v>
      </c>
      <c r="F25" s="15"/>
      <c r="G25" s="15" t="s">
        <v>149</v>
      </c>
      <c r="H25" s="15"/>
      <c r="M25" s="16"/>
      <c r="N25" s="16"/>
      <c r="O25" s="16"/>
      <c r="P25" s="11"/>
      <c r="Q25" s="11"/>
      <c r="R25" s="11"/>
      <c r="S25" s="15" t="str">
        <f aca="false">IF($M25="","",IF(ISNUMBER($M25),"Measured",IF(ISNUMBER(SEARCH("DATA GAP",UPPER($M25))),"Gap",IF(AND($N25&lt;&gt;"",$P25&lt;&gt;"T5"),"Documented","Judged"))))</f>
        <v/>
      </c>
      <c r="T25" s="15" t="str">
        <f aca="false">IF($AC25&lt;&gt;"","",IF(OR($S25="",$S25="Gap"),"",IF($S25="Measured",1+IF($H25="H",IF($M25&gt;=$I25,1,0)+IF($M25&gt;=$J25,1,0)+IF($M25&gt;=$K25,1,0)+IF($M25&gt;=$L25,1,0),IF($M25&lt;=$I25,1,0)+IF($M25&lt;=$J25,1,0)+IF($M25&lt;=$K25,1,0)+IF($M25&lt;=$L25,1,0)),IF($R25&lt;&gt;"",$R25,""))))</f>
        <v/>
      </c>
      <c r="U25" s="15" t="str">
        <f aca="false">IF(OR($S25="",$S25="Gap",$Q25=""),"",IF($Q25&lt;Config!$C$2-Config!$C$3,"STALE",""))</f>
        <v/>
      </c>
      <c r="V25" s="15" t="n">
        <f aca="false">IF(OR(ISNUMBER(SEARCH("ALL",$E25)),ISNUMBER(SEARCH("ADV",$E25))),1,0)</f>
        <v>1</v>
      </c>
      <c r="W25" s="15" t="n">
        <f aca="false">IF(OR(ISNUMBER(SEARCH("ALL",$E25)),ISNUMBER(SEARCH("SMF",$E25))),1,0)</f>
        <v>1</v>
      </c>
      <c r="X25" s="15" t="n">
        <f aca="false">IF(OR(ISNUMBER(SEARCH("ALL",$E25)),ISNUMBER(SEARCH("MKT",$E25))),1,0)</f>
        <v>0</v>
      </c>
      <c r="Y25" s="15" t="n">
        <f aca="false">IF(OR(ISNUMBER(SEARCH("ALL",$E25)),ISNUMBER(SEARCH("SCM",$E25))),1,0)</f>
        <v>0</v>
      </c>
      <c r="Z25" s="15" t="n">
        <f aca="false">IF(OR(ISNUMBER(SEARCH("ALL",$E25)),ISNUMBER(SEARCH("FIN",$E25))),1,0)</f>
        <v>0</v>
      </c>
      <c r="AA25" s="15" t="n">
        <f aca="false">IF(OR(ISNUMBER(SEARCH("ALL",$E25)),ISNUMBER(SEARCH("AGI",$E25))),1,0)</f>
        <v>1</v>
      </c>
    </row>
    <row r="26" customFormat="false" ht="15" hidden="false" customHeight="false" outlineLevel="0" collapsed="false">
      <c r="A26" s="15" t="s">
        <v>201</v>
      </c>
      <c r="B26" s="10" t="s">
        <v>202</v>
      </c>
      <c r="C26" s="15" t="s">
        <v>185</v>
      </c>
      <c r="D26" s="15" t="s">
        <v>186</v>
      </c>
      <c r="E26" s="15" t="s">
        <v>203</v>
      </c>
      <c r="F26" s="15"/>
      <c r="G26" s="15" t="s">
        <v>149</v>
      </c>
      <c r="H26" s="15"/>
      <c r="M26" s="16"/>
      <c r="N26" s="16"/>
      <c r="O26" s="16"/>
      <c r="P26" s="11"/>
      <c r="Q26" s="11"/>
      <c r="R26" s="11"/>
      <c r="S26" s="15" t="str">
        <f aca="false">IF($M26="","",IF(ISNUMBER($M26),"Measured",IF(ISNUMBER(SEARCH("DATA GAP",UPPER($M26))),"Gap",IF(AND($N26&lt;&gt;"",$P26&lt;&gt;"T5"),"Documented","Judged"))))</f>
        <v/>
      </c>
      <c r="T26" s="15" t="str">
        <f aca="false">IF($AC26&lt;&gt;"","",IF(OR($S26="",$S26="Gap"),"",IF($S26="Measured",1+IF($H26="H",IF($M26&gt;=$I26,1,0)+IF($M26&gt;=$J26,1,0)+IF($M26&gt;=$K26,1,0)+IF($M26&gt;=$L26,1,0),IF($M26&lt;=$I26,1,0)+IF($M26&lt;=$J26,1,0)+IF($M26&lt;=$K26,1,0)+IF($M26&lt;=$L26,1,0)),IF($R26&lt;&gt;"",$R26,""))))</f>
        <v/>
      </c>
      <c r="U26" s="15" t="str">
        <f aca="false">IF(OR($S26="",$S26="Gap",$Q26=""),"",IF($Q26&lt;Config!$C$2-Config!$C$3,"STALE",""))</f>
        <v/>
      </c>
      <c r="V26" s="15" t="n">
        <f aca="false">IF(OR(ISNUMBER(SEARCH("ALL",$E26)),ISNUMBER(SEARCH("ADV",$E26))),1,0)</f>
        <v>0</v>
      </c>
      <c r="W26" s="15" t="n">
        <f aca="false">IF(OR(ISNUMBER(SEARCH("ALL",$E26)),ISNUMBER(SEARCH("SMF",$E26))),1,0)</f>
        <v>1</v>
      </c>
      <c r="X26" s="15" t="n">
        <f aca="false">IF(OR(ISNUMBER(SEARCH("ALL",$E26)),ISNUMBER(SEARCH("MKT",$E26))),1,0)</f>
        <v>0</v>
      </c>
      <c r="Y26" s="15" t="n">
        <f aca="false">IF(OR(ISNUMBER(SEARCH("ALL",$E26)),ISNUMBER(SEARCH("SCM",$E26))),1,0)</f>
        <v>0</v>
      </c>
      <c r="Z26" s="15" t="n">
        <f aca="false">IF(OR(ISNUMBER(SEARCH("ALL",$E26)),ISNUMBER(SEARCH("FIN",$E26))),1,0)</f>
        <v>0</v>
      </c>
      <c r="AA26" s="15" t="n">
        <f aca="false">IF(OR(ISNUMBER(SEARCH("ALL",$E26)),ISNUMBER(SEARCH("AGI",$E26))),1,0)</f>
        <v>1</v>
      </c>
    </row>
    <row r="27" customFormat="false" ht="15" hidden="false" customHeight="false" outlineLevel="0" collapsed="false">
      <c r="A27" s="15" t="s">
        <v>204</v>
      </c>
      <c r="B27" s="10" t="s">
        <v>205</v>
      </c>
      <c r="C27" s="15" t="s">
        <v>185</v>
      </c>
      <c r="D27" s="15" t="s">
        <v>186</v>
      </c>
      <c r="E27" s="15" t="s">
        <v>206</v>
      </c>
      <c r="F27" s="15"/>
      <c r="G27" s="15" t="s">
        <v>149</v>
      </c>
      <c r="H27" s="15"/>
      <c r="M27" s="16"/>
      <c r="N27" s="16"/>
      <c r="O27" s="16"/>
      <c r="P27" s="11"/>
      <c r="Q27" s="11"/>
      <c r="R27" s="11"/>
      <c r="S27" s="15" t="str">
        <f aca="false">IF($M27="","",IF(ISNUMBER($M27),"Measured",IF(ISNUMBER(SEARCH("DATA GAP",UPPER($M27))),"Gap",IF(AND($N27&lt;&gt;"",$P27&lt;&gt;"T5"),"Documented","Judged"))))</f>
        <v/>
      </c>
      <c r="T27" s="15" t="str">
        <f aca="false">IF($AC27&lt;&gt;"","",IF(OR($S27="",$S27="Gap"),"",IF($S27="Measured",1+IF($H27="H",IF($M27&gt;=$I27,1,0)+IF($M27&gt;=$J27,1,0)+IF($M27&gt;=$K27,1,0)+IF($M27&gt;=$L27,1,0),IF($M27&lt;=$I27,1,0)+IF($M27&lt;=$J27,1,0)+IF($M27&lt;=$K27,1,0)+IF($M27&lt;=$L27,1,0)),IF($R27&lt;&gt;"",$R27,""))))</f>
        <v/>
      </c>
      <c r="U27" s="15" t="str">
        <f aca="false">IF(OR($S27="",$S27="Gap",$Q27=""),"",IF($Q27&lt;Config!$C$2-Config!$C$3,"STALE",""))</f>
        <v/>
      </c>
      <c r="V27" s="15" t="n">
        <f aca="false">IF(OR(ISNUMBER(SEARCH("ALL",$E27)),ISNUMBER(SEARCH("ADV",$E27))),1,0)</f>
        <v>1</v>
      </c>
      <c r="W27" s="15" t="n">
        <f aca="false">IF(OR(ISNUMBER(SEARCH("ALL",$E27)),ISNUMBER(SEARCH("SMF",$E27))),1,0)</f>
        <v>1</v>
      </c>
      <c r="X27" s="15" t="n">
        <f aca="false">IF(OR(ISNUMBER(SEARCH("ALL",$E27)),ISNUMBER(SEARCH("MKT",$E27))),1,0)</f>
        <v>0</v>
      </c>
      <c r="Y27" s="15" t="n">
        <f aca="false">IF(OR(ISNUMBER(SEARCH("ALL",$E27)),ISNUMBER(SEARCH("SCM",$E27))),1,0)</f>
        <v>0</v>
      </c>
      <c r="Z27" s="15" t="n">
        <f aca="false">IF(OR(ISNUMBER(SEARCH("ALL",$E27)),ISNUMBER(SEARCH("FIN",$E27))),1,0)</f>
        <v>0</v>
      </c>
      <c r="AA27" s="15" t="n">
        <f aca="false">IF(OR(ISNUMBER(SEARCH("ALL",$E27)),ISNUMBER(SEARCH("AGI",$E27))),1,0)</f>
        <v>0</v>
      </c>
    </row>
    <row r="28" customFormat="false" ht="15" hidden="false" customHeight="false" outlineLevel="0" collapsed="false">
      <c r="A28" s="15" t="s">
        <v>207</v>
      </c>
      <c r="B28" s="10" t="s">
        <v>208</v>
      </c>
      <c r="C28" s="15" t="s">
        <v>185</v>
      </c>
      <c r="D28" s="15" t="s">
        <v>186</v>
      </c>
      <c r="E28" s="15" t="s">
        <v>187</v>
      </c>
      <c r="F28" s="15" t="s">
        <v>209</v>
      </c>
      <c r="G28" s="15" t="s">
        <v>149</v>
      </c>
      <c r="H28" s="15"/>
      <c r="M28" s="16"/>
      <c r="N28" s="16"/>
      <c r="O28" s="16"/>
      <c r="P28" s="11"/>
      <c r="Q28" s="11"/>
      <c r="R28" s="11"/>
      <c r="S28" s="15" t="str">
        <f aca="false">IF($M28="","",IF(ISNUMBER($M28),"Measured",IF(ISNUMBER(SEARCH("DATA GAP",UPPER($M28))),"Gap",IF(AND($N28&lt;&gt;"",$P28&lt;&gt;"T5"),"Documented","Judged"))))</f>
        <v/>
      </c>
      <c r="T28" s="15" t="str">
        <f aca="false">IF($AC28&lt;&gt;"","",IF(OR($S28="",$S28="Gap"),"",IF($S28="Measured",1+IF($H28="H",IF($M28&gt;=$I28,1,0)+IF($M28&gt;=$J28,1,0)+IF($M28&gt;=$K28,1,0)+IF($M28&gt;=$L28,1,0),IF($M28&lt;=$I28,1,0)+IF($M28&lt;=$J28,1,0)+IF($M28&lt;=$K28,1,0)+IF($M28&lt;=$L28,1,0)),IF($R28&lt;&gt;"",$R28,""))))</f>
        <v/>
      </c>
      <c r="U28" s="15" t="str">
        <f aca="false">IF(OR($S28="",$S28="Gap",$Q28=""),"",IF($Q28&lt;Config!$C$2-Config!$C$3,"STALE",""))</f>
        <v/>
      </c>
      <c r="V28" s="15" t="n">
        <f aca="false">IF(OR(ISNUMBER(SEARCH("ALL",$E28)),ISNUMBER(SEARCH("ADV",$E28))),1,0)</f>
        <v>1</v>
      </c>
      <c r="W28" s="15" t="n">
        <f aca="false">IF(OR(ISNUMBER(SEARCH("ALL",$E28)),ISNUMBER(SEARCH("SMF",$E28))),1,0)</f>
        <v>1</v>
      </c>
      <c r="X28" s="15" t="n">
        <f aca="false">IF(OR(ISNUMBER(SEARCH("ALL",$E28)),ISNUMBER(SEARCH("MKT",$E28))),1,0)</f>
        <v>1</v>
      </c>
      <c r="Y28" s="15" t="n">
        <f aca="false">IF(OR(ISNUMBER(SEARCH("ALL",$E28)),ISNUMBER(SEARCH("SCM",$E28))),1,0)</f>
        <v>1</v>
      </c>
      <c r="Z28" s="15" t="n">
        <f aca="false">IF(OR(ISNUMBER(SEARCH("ALL",$E28)),ISNUMBER(SEARCH("FIN",$E28))),1,0)</f>
        <v>1</v>
      </c>
      <c r="AA28" s="15" t="n">
        <f aca="false">IF(OR(ISNUMBER(SEARCH("ALL",$E28)),ISNUMBER(SEARCH("AGI",$E28))),1,0)</f>
        <v>1</v>
      </c>
    </row>
    <row r="29" customFormat="false" ht="15" hidden="false" customHeight="false" outlineLevel="0" collapsed="false">
      <c r="A29" s="15" t="s">
        <v>210</v>
      </c>
      <c r="B29" s="10" t="s">
        <v>211</v>
      </c>
      <c r="C29" s="15" t="s">
        <v>212</v>
      </c>
      <c r="D29" s="15" t="s">
        <v>186</v>
      </c>
      <c r="E29" s="15" t="s">
        <v>171</v>
      </c>
      <c r="F29" s="15" t="s">
        <v>172</v>
      </c>
      <c r="G29" s="15" t="s">
        <v>149</v>
      </c>
      <c r="H29" s="15"/>
      <c r="M29" s="16"/>
      <c r="N29" s="16"/>
      <c r="O29" s="16"/>
      <c r="P29" s="11"/>
      <c r="Q29" s="11"/>
      <c r="R29" s="11"/>
      <c r="S29" s="15" t="str">
        <f aca="false">IF($M29="","",IF(ISNUMBER($M29),"Measured",IF(ISNUMBER(SEARCH("DATA GAP",UPPER($M29))),"Gap",IF(AND($N29&lt;&gt;"",$P29&lt;&gt;"T5"),"Documented","Judged"))))</f>
        <v/>
      </c>
      <c r="T29" s="15" t="str">
        <f aca="false">IF($AC29&lt;&gt;"","",IF(OR($S29="",$S29="Gap"),"",IF($S29="Measured",1+IF($H29="H",IF($M29&gt;=$I29,1,0)+IF($M29&gt;=$J29,1,0)+IF($M29&gt;=$K29,1,0)+IF($M29&gt;=$L29,1,0),IF($M29&lt;=$I29,1,0)+IF($M29&lt;=$J29,1,0)+IF($M29&lt;=$K29,1,0)+IF($M29&lt;=$L29,1,0)),IF($R29&lt;&gt;"",$R29,""))))</f>
        <v/>
      </c>
      <c r="U29" s="15" t="str">
        <f aca="false">IF(OR($S29="",$S29="Gap",$Q29=""),"",IF($Q29&lt;Config!$C$2-Config!$C$3,"STALE",""))</f>
        <v/>
      </c>
      <c r="V29" s="15" t="n">
        <f aca="false">IF(OR(ISNUMBER(SEARCH("ALL",$E29)),ISNUMBER(SEARCH("ADV",$E29))),1,0)</f>
        <v>1</v>
      </c>
      <c r="W29" s="15" t="n">
        <f aca="false">IF(OR(ISNUMBER(SEARCH("ALL",$E29)),ISNUMBER(SEARCH("SMF",$E29))),1,0)</f>
        <v>1</v>
      </c>
      <c r="X29" s="15" t="n">
        <f aca="false">IF(OR(ISNUMBER(SEARCH("ALL",$E29)),ISNUMBER(SEARCH("MKT",$E29))),1,0)</f>
        <v>1</v>
      </c>
      <c r="Y29" s="15" t="n">
        <f aca="false">IF(OR(ISNUMBER(SEARCH("ALL",$E29)),ISNUMBER(SEARCH("SCM",$E29))),1,0)</f>
        <v>1</v>
      </c>
      <c r="Z29" s="15" t="n">
        <f aca="false">IF(OR(ISNUMBER(SEARCH("ALL",$E29)),ISNUMBER(SEARCH("FIN",$E29))),1,0)</f>
        <v>1</v>
      </c>
      <c r="AA29" s="15" t="n">
        <f aca="false">IF(OR(ISNUMBER(SEARCH("ALL",$E29)),ISNUMBER(SEARCH("AGI",$E29))),1,0)</f>
        <v>1</v>
      </c>
    </row>
    <row r="30" customFormat="false" ht="15" hidden="false" customHeight="false" outlineLevel="0" collapsed="false">
      <c r="A30" s="15" t="s">
        <v>213</v>
      </c>
      <c r="B30" s="10" t="s">
        <v>214</v>
      </c>
      <c r="C30" s="15" t="s">
        <v>212</v>
      </c>
      <c r="D30" s="15" t="s">
        <v>186</v>
      </c>
      <c r="E30" s="15" t="s">
        <v>171</v>
      </c>
      <c r="F30" s="15"/>
      <c r="G30" s="15" t="s">
        <v>143</v>
      </c>
      <c r="H30" s="15" t="s">
        <v>144</v>
      </c>
      <c r="I30" s="15" t="n">
        <v>0.2</v>
      </c>
      <c r="J30" s="15" t="n">
        <v>0.4</v>
      </c>
      <c r="K30" s="15" t="n">
        <v>0.6</v>
      </c>
      <c r="L30" s="15" t="n">
        <v>0.8</v>
      </c>
      <c r="M30" s="16"/>
      <c r="N30" s="16"/>
      <c r="O30" s="16"/>
      <c r="P30" s="11"/>
      <c r="Q30" s="11"/>
      <c r="R30" s="11"/>
      <c r="S30" s="15" t="str">
        <f aca="false">IF($M30="","",IF(ISNUMBER($M30),"Measured",IF(ISNUMBER(SEARCH("DATA GAP",UPPER($M30))),"Gap",IF(AND($N30&lt;&gt;"",$P30&lt;&gt;"T5"),"Documented","Judged"))))</f>
        <v/>
      </c>
      <c r="T30" s="15" t="str">
        <f aca="false">IF($AC30&lt;&gt;"","",IF(OR($S30="",$S30="Gap"),"",IF($S30="Measured",1+IF($H30="H",IF($M30&gt;=$I30,1,0)+IF($M30&gt;=$J30,1,0)+IF($M30&gt;=$K30,1,0)+IF($M30&gt;=$L30,1,0),IF($M30&lt;=$I30,1,0)+IF($M30&lt;=$J30,1,0)+IF($M30&lt;=$K30,1,0)+IF($M30&lt;=$L30,1,0)),IF($R30&lt;&gt;"",$R30,""))))</f>
        <v/>
      </c>
      <c r="U30" s="15" t="str">
        <f aca="false">IF(OR($S30="",$S30="Gap",$Q30=""),"",IF($Q30&lt;Config!$C$2-Config!$C$3,"STALE",""))</f>
        <v/>
      </c>
      <c r="V30" s="15" t="n">
        <f aca="false">IF(OR(ISNUMBER(SEARCH("ALL",$E30)),ISNUMBER(SEARCH("ADV",$E30))),1,0)</f>
        <v>1</v>
      </c>
      <c r="W30" s="15" t="n">
        <f aca="false">IF(OR(ISNUMBER(SEARCH("ALL",$E30)),ISNUMBER(SEARCH("SMF",$E30))),1,0)</f>
        <v>1</v>
      </c>
      <c r="X30" s="15" t="n">
        <f aca="false">IF(OR(ISNUMBER(SEARCH("ALL",$E30)),ISNUMBER(SEARCH("MKT",$E30))),1,0)</f>
        <v>1</v>
      </c>
      <c r="Y30" s="15" t="n">
        <f aca="false">IF(OR(ISNUMBER(SEARCH("ALL",$E30)),ISNUMBER(SEARCH("SCM",$E30))),1,0)</f>
        <v>1</v>
      </c>
      <c r="Z30" s="15" t="n">
        <f aca="false">IF(OR(ISNUMBER(SEARCH("ALL",$E30)),ISNUMBER(SEARCH("FIN",$E30))),1,0)</f>
        <v>1</v>
      </c>
      <c r="AA30" s="15" t="n">
        <f aca="false">IF(OR(ISNUMBER(SEARCH("ALL",$E30)),ISNUMBER(SEARCH("AGI",$E30))),1,0)</f>
        <v>1</v>
      </c>
    </row>
    <row r="31" customFormat="false" ht="15" hidden="false" customHeight="false" outlineLevel="0" collapsed="false">
      <c r="A31" s="15" t="s">
        <v>215</v>
      </c>
      <c r="B31" s="10" t="s">
        <v>216</v>
      </c>
      <c r="C31" s="15" t="s">
        <v>212</v>
      </c>
      <c r="D31" s="15" t="s">
        <v>186</v>
      </c>
      <c r="E31" s="15" t="s">
        <v>187</v>
      </c>
      <c r="F31" s="15"/>
      <c r="G31" s="15" t="s">
        <v>143</v>
      </c>
      <c r="H31" s="15" t="s">
        <v>144</v>
      </c>
      <c r="I31" s="15" t="n">
        <v>20</v>
      </c>
      <c r="J31" s="15" t="n">
        <v>40</v>
      </c>
      <c r="K31" s="15" t="n">
        <v>60</v>
      </c>
      <c r="L31" s="15" t="n">
        <v>80</v>
      </c>
      <c r="M31" s="16"/>
      <c r="N31" s="16"/>
      <c r="O31" s="16"/>
      <c r="P31" s="11"/>
      <c r="Q31" s="11"/>
      <c r="R31" s="11"/>
      <c r="S31" s="15" t="str">
        <f aca="false">IF($M31="","",IF(ISNUMBER($M31),"Measured",IF(ISNUMBER(SEARCH("DATA GAP",UPPER($M31))),"Gap",IF(AND($N31&lt;&gt;"",$P31&lt;&gt;"T5"),"Documented","Judged"))))</f>
        <v/>
      </c>
      <c r="T31" s="15" t="str">
        <f aca="false">IF($AC31&lt;&gt;"","",IF(OR($S31="",$S31="Gap"),"",IF($S31="Measured",1+IF($H31="H",IF($M31&gt;=$I31,1,0)+IF($M31&gt;=$J31,1,0)+IF($M31&gt;=$K31,1,0)+IF($M31&gt;=$L31,1,0),IF($M31&lt;=$I31,1,0)+IF($M31&lt;=$J31,1,0)+IF($M31&lt;=$K31,1,0)+IF($M31&lt;=$L31,1,0)),IF($R31&lt;&gt;"",$R31,""))))</f>
        <v/>
      </c>
      <c r="U31" s="15" t="str">
        <f aca="false">IF(OR($S31="",$S31="Gap",$Q31=""),"",IF($Q31&lt;Config!$C$2-Config!$C$3,"STALE",""))</f>
        <v/>
      </c>
      <c r="V31" s="15" t="n">
        <f aca="false">IF(OR(ISNUMBER(SEARCH("ALL",$E31)),ISNUMBER(SEARCH("ADV",$E31))),1,0)</f>
        <v>1</v>
      </c>
      <c r="W31" s="15" t="n">
        <f aca="false">IF(OR(ISNUMBER(SEARCH("ALL",$E31)),ISNUMBER(SEARCH("SMF",$E31))),1,0)</f>
        <v>1</v>
      </c>
      <c r="X31" s="15" t="n">
        <f aca="false">IF(OR(ISNUMBER(SEARCH("ALL",$E31)),ISNUMBER(SEARCH("MKT",$E31))),1,0)</f>
        <v>1</v>
      </c>
      <c r="Y31" s="15" t="n">
        <f aca="false">IF(OR(ISNUMBER(SEARCH("ALL",$E31)),ISNUMBER(SEARCH("SCM",$E31))),1,0)</f>
        <v>1</v>
      </c>
      <c r="Z31" s="15" t="n">
        <f aca="false">IF(OR(ISNUMBER(SEARCH("ALL",$E31)),ISNUMBER(SEARCH("FIN",$E31))),1,0)</f>
        <v>1</v>
      </c>
      <c r="AA31" s="15" t="n">
        <f aca="false">IF(OR(ISNUMBER(SEARCH("ALL",$E31)),ISNUMBER(SEARCH("AGI",$E31))),1,0)</f>
        <v>1</v>
      </c>
    </row>
    <row r="32" customFormat="false" ht="15" hidden="false" customHeight="false" outlineLevel="0" collapsed="false">
      <c r="A32" s="15" t="s">
        <v>217</v>
      </c>
      <c r="B32" s="10" t="s">
        <v>218</v>
      </c>
      <c r="C32" s="15" t="s">
        <v>212</v>
      </c>
      <c r="D32" s="15" t="s">
        <v>186</v>
      </c>
      <c r="E32" s="15" t="s">
        <v>171</v>
      </c>
      <c r="F32" s="15"/>
      <c r="G32" s="15" t="s">
        <v>149</v>
      </c>
      <c r="H32" s="15"/>
      <c r="M32" s="16"/>
      <c r="N32" s="16"/>
      <c r="O32" s="16"/>
      <c r="P32" s="11"/>
      <c r="Q32" s="11"/>
      <c r="R32" s="11"/>
      <c r="S32" s="15" t="str">
        <f aca="false">IF($M32="","",IF(ISNUMBER($M32),"Measured",IF(ISNUMBER(SEARCH("DATA GAP",UPPER($M32))),"Gap",IF(AND($N32&lt;&gt;"",$P32&lt;&gt;"T5"),"Documented","Judged"))))</f>
        <v/>
      </c>
      <c r="T32" s="15" t="str">
        <f aca="false">IF($AC32&lt;&gt;"","",IF(OR($S32="",$S32="Gap"),"",IF($S32="Measured",1+IF($H32="H",IF($M32&gt;=$I32,1,0)+IF($M32&gt;=$J32,1,0)+IF($M32&gt;=$K32,1,0)+IF($M32&gt;=$L32,1,0),IF($M32&lt;=$I32,1,0)+IF($M32&lt;=$J32,1,0)+IF($M32&lt;=$K32,1,0)+IF($M32&lt;=$L32,1,0)),IF($R32&lt;&gt;"",$R32,""))))</f>
        <v/>
      </c>
      <c r="U32" s="15" t="str">
        <f aca="false">IF(OR($S32="",$S32="Gap",$Q32=""),"",IF($Q32&lt;Config!$C$2-Config!$C$3,"STALE",""))</f>
        <v/>
      </c>
      <c r="V32" s="15" t="n">
        <f aca="false">IF(OR(ISNUMBER(SEARCH("ALL",$E32)),ISNUMBER(SEARCH("ADV",$E32))),1,0)</f>
        <v>1</v>
      </c>
      <c r="W32" s="15" t="n">
        <f aca="false">IF(OR(ISNUMBER(SEARCH("ALL",$E32)),ISNUMBER(SEARCH("SMF",$E32))),1,0)</f>
        <v>1</v>
      </c>
      <c r="X32" s="15" t="n">
        <f aca="false">IF(OR(ISNUMBER(SEARCH("ALL",$E32)),ISNUMBER(SEARCH("MKT",$E32))),1,0)</f>
        <v>1</v>
      </c>
      <c r="Y32" s="15" t="n">
        <f aca="false">IF(OR(ISNUMBER(SEARCH("ALL",$E32)),ISNUMBER(SEARCH("SCM",$E32))),1,0)</f>
        <v>1</v>
      </c>
      <c r="Z32" s="15" t="n">
        <f aca="false">IF(OR(ISNUMBER(SEARCH("ALL",$E32)),ISNUMBER(SEARCH("FIN",$E32))),1,0)</f>
        <v>1</v>
      </c>
      <c r="AA32" s="15" t="n">
        <f aca="false">IF(OR(ISNUMBER(SEARCH("ALL",$E32)),ISNUMBER(SEARCH("AGI",$E32))),1,0)</f>
        <v>1</v>
      </c>
    </row>
    <row r="33" customFormat="false" ht="15" hidden="false" customHeight="false" outlineLevel="0" collapsed="false">
      <c r="A33" s="15" t="s">
        <v>219</v>
      </c>
      <c r="B33" s="10" t="s">
        <v>220</v>
      </c>
      <c r="C33" s="15" t="s">
        <v>212</v>
      </c>
      <c r="D33" s="15" t="s">
        <v>186</v>
      </c>
      <c r="E33" s="15" t="s">
        <v>221</v>
      </c>
      <c r="F33" s="15" t="s">
        <v>209</v>
      </c>
      <c r="G33" s="15" t="s">
        <v>149</v>
      </c>
      <c r="H33" s="15"/>
      <c r="M33" s="16"/>
      <c r="N33" s="16"/>
      <c r="O33" s="16"/>
      <c r="P33" s="11"/>
      <c r="Q33" s="11"/>
      <c r="R33" s="11"/>
      <c r="S33" s="15" t="str">
        <f aca="false">IF($M33="","",IF(ISNUMBER($M33),"Measured",IF(ISNUMBER(SEARCH("DATA GAP",UPPER($M33))),"Gap",IF(AND($N33&lt;&gt;"",$P33&lt;&gt;"T5"),"Documented","Judged"))))</f>
        <v/>
      </c>
      <c r="T33" s="15" t="str">
        <f aca="false">IF($AC33&lt;&gt;"","",IF(OR($S33="",$S33="Gap"),"",IF($S33="Measured",1+IF($H33="H",IF($M33&gt;=$I33,1,0)+IF($M33&gt;=$J33,1,0)+IF($M33&gt;=$K33,1,0)+IF($M33&gt;=$L33,1,0),IF($M33&lt;=$I33,1,0)+IF($M33&lt;=$J33,1,0)+IF($M33&lt;=$K33,1,0)+IF($M33&lt;=$L33,1,0)),IF($R33&lt;&gt;"",$R33,""))))</f>
        <v/>
      </c>
      <c r="U33" s="15" t="str">
        <f aca="false">IF(OR($S33="",$S33="Gap",$Q33=""),"",IF($Q33&lt;Config!$C$2-Config!$C$3,"STALE",""))</f>
        <v/>
      </c>
      <c r="V33" s="15" t="n">
        <f aca="false">IF(OR(ISNUMBER(SEARCH("ALL",$E33)),ISNUMBER(SEARCH("ADV",$E33))),1,0)</f>
        <v>0</v>
      </c>
      <c r="W33" s="15" t="n">
        <f aca="false">IF(OR(ISNUMBER(SEARCH("ALL",$E33)),ISNUMBER(SEARCH("SMF",$E33))),1,0)</f>
        <v>0</v>
      </c>
      <c r="X33" s="15" t="n">
        <f aca="false">IF(OR(ISNUMBER(SEARCH("ALL",$E33)),ISNUMBER(SEARCH("MKT",$E33))),1,0)</f>
        <v>0</v>
      </c>
      <c r="Y33" s="15" t="n">
        <f aca="false">IF(OR(ISNUMBER(SEARCH("ALL",$E33)),ISNUMBER(SEARCH("SCM",$E33))),1,0)</f>
        <v>0</v>
      </c>
      <c r="Z33" s="15" t="n">
        <f aca="false">IF(OR(ISNUMBER(SEARCH("ALL",$E33)),ISNUMBER(SEARCH("FIN",$E33))),1,0)</f>
        <v>1</v>
      </c>
      <c r="AA33" s="15" t="n">
        <f aca="false">IF(OR(ISNUMBER(SEARCH("ALL",$E33)),ISNUMBER(SEARCH("AGI",$E33))),1,0)</f>
        <v>1</v>
      </c>
    </row>
    <row r="34" customFormat="false" ht="15" hidden="false" customHeight="false" outlineLevel="0" collapsed="false">
      <c r="A34" s="15" t="s">
        <v>222</v>
      </c>
      <c r="B34" s="10" t="s">
        <v>223</v>
      </c>
      <c r="C34" s="15" t="s">
        <v>212</v>
      </c>
      <c r="D34" s="15" t="s">
        <v>186</v>
      </c>
      <c r="E34" s="15" t="s">
        <v>187</v>
      </c>
      <c r="F34" s="15"/>
      <c r="G34" s="15" t="s">
        <v>149</v>
      </c>
      <c r="H34" s="15"/>
      <c r="M34" s="16"/>
      <c r="N34" s="16"/>
      <c r="O34" s="16"/>
      <c r="P34" s="11"/>
      <c r="Q34" s="11"/>
      <c r="R34" s="11"/>
      <c r="S34" s="15" t="str">
        <f aca="false">IF($M34="","",IF(ISNUMBER($M34),"Measured",IF(ISNUMBER(SEARCH("DATA GAP",UPPER($M34))),"Gap",IF(AND($N34&lt;&gt;"",$P34&lt;&gt;"T5"),"Documented","Judged"))))</f>
        <v/>
      </c>
      <c r="T34" s="15" t="str">
        <f aca="false">IF($AC34&lt;&gt;"","",IF(OR($S34="",$S34="Gap"),"",IF($S34="Measured",1+IF($H34="H",IF($M34&gt;=$I34,1,0)+IF($M34&gt;=$J34,1,0)+IF($M34&gt;=$K34,1,0)+IF($M34&gt;=$L34,1,0),IF($M34&lt;=$I34,1,0)+IF($M34&lt;=$J34,1,0)+IF($M34&lt;=$K34,1,0)+IF($M34&lt;=$L34,1,0)),IF($R34&lt;&gt;"",$R34,""))))</f>
        <v/>
      </c>
      <c r="U34" s="15" t="str">
        <f aca="false">IF(OR($S34="",$S34="Gap",$Q34=""),"",IF($Q34&lt;Config!$C$2-Config!$C$3,"STALE",""))</f>
        <v/>
      </c>
      <c r="V34" s="15" t="n">
        <f aca="false">IF(OR(ISNUMBER(SEARCH("ALL",$E34)),ISNUMBER(SEARCH("ADV",$E34))),1,0)</f>
        <v>1</v>
      </c>
      <c r="W34" s="15" t="n">
        <f aca="false">IF(OR(ISNUMBER(SEARCH("ALL",$E34)),ISNUMBER(SEARCH("SMF",$E34))),1,0)</f>
        <v>1</v>
      </c>
      <c r="X34" s="15" t="n">
        <f aca="false">IF(OR(ISNUMBER(SEARCH("ALL",$E34)),ISNUMBER(SEARCH("MKT",$E34))),1,0)</f>
        <v>1</v>
      </c>
      <c r="Y34" s="15" t="n">
        <f aca="false">IF(OR(ISNUMBER(SEARCH("ALL",$E34)),ISNUMBER(SEARCH("SCM",$E34))),1,0)</f>
        <v>1</v>
      </c>
      <c r="Z34" s="15" t="n">
        <f aca="false">IF(OR(ISNUMBER(SEARCH("ALL",$E34)),ISNUMBER(SEARCH("FIN",$E34))),1,0)</f>
        <v>1</v>
      </c>
      <c r="AA34" s="15" t="n">
        <f aca="false">IF(OR(ISNUMBER(SEARCH("ALL",$E34)),ISNUMBER(SEARCH("AGI",$E34))),1,0)</f>
        <v>1</v>
      </c>
    </row>
    <row r="35" customFormat="false" ht="15" hidden="false" customHeight="false" outlineLevel="0" collapsed="false">
      <c r="A35" s="15" t="s">
        <v>224</v>
      </c>
      <c r="B35" s="10" t="s">
        <v>225</v>
      </c>
      <c r="C35" s="15" t="s">
        <v>212</v>
      </c>
      <c r="D35" s="15" t="s">
        <v>186</v>
      </c>
      <c r="E35" s="15" t="s">
        <v>226</v>
      </c>
      <c r="F35" s="15" t="s">
        <v>227</v>
      </c>
      <c r="G35" s="15" t="s">
        <v>143</v>
      </c>
      <c r="H35" s="15" t="s">
        <v>144</v>
      </c>
      <c r="I35" s="15" t="n">
        <v>20</v>
      </c>
      <c r="J35" s="15" t="n">
        <v>40</v>
      </c>
      <c r="K35" s="15" t="n">
        <v>60</v>
      </c>
      <c r="L35" s="15" t="n">
        <v>80</v>
      </c>
      <c r="M35" s="16"/>
      <c r="N35" s="16"/>
      <c r="O35" s="16"/>
      <c r="P35" s="11"/>
      <c r="Q35" s="11"/>
      <c r="R35" s="11"/>
      <c r="S35" s="15" t="str">
        <f aca="false">IF($M35="","",IF(ISNUMBER($M35),"Measured",IF(ISNUMBER(SEARCH("DATA GAP",UPPER($M35))),"Gap",IF(AND($N35&lt;&gt;"",$P35&lt;&gt;"T5"),"Documented","Judged"))))</f>
        <v/>
      </c>
      <c r="T35" s="15" t="str">
        <f aca="false">IF($AC35&lt;&gt;"","",IF(OR($S35="",$S35="Gap"),"",IF($S35="Measured",1+IF($H35="H",IF($M35&gt;=$I35,1,0)+IF($M35&gt;=$J35,1,0)+IF($M35&gt;=$K35,1,0)+IF($M35&gt;=$L35,1,0),IF($M35&lt;=$I35,1,0)+IF($M35&lt;=$J35,1,0)+IF($M35&lt;=$K35,1,0)+IF($M35&lt;=$L35,1,0)),IF($R35&lt;&gt;"",$R35,""))))</f>
        <v/>
      </c>
      <c r="U35" s="15" t="str">
        <f aca="false">IF(OR($S35="",$S35="Gap",$Q35=""),"",IF($Q35&lt;Config!$C$2-Config!$C$3,"STALE",""))</f>
        <v/>
      </c>
      <c r="V35" s="15" t="n">
        <f aca="false">IF(OR(ISNUMBER(SEARCH("ALL",$E35)),ISNUMBER(SEARCH("ADV",$E35))),1,0)</f>
        <v>1</v>
      </c>
      <c r="W35" s="15" t="n">
        <f aca="false">IF(OR(ISNUMBER(SEARCH("ALL",$E35)),ISNUMBER(SEARCH("SMF",$E35))),1,0)</f>
        <v>1</v>
      </c>
      <c r="X35" s="15" t="n">
        <f aca="false">IF(OR(ISNUMBER(SEARCH("ALL",$E35)),ISNUMBER(SEARCH("MKT",$E35))),1,0)</f>
        <v>1</v>
      </c>
      <c r="Y35" s="15" t="n">
        <f aca="false">IF(OR(ISNUMBER(SEARCH("ALL",$E35)),ISNUMBER(SEARCH("SCM",$E35))),1,0)</f>
        <v>1</v>
      </c>
      <c r="Z35" s="15" t="n">
        <f aca="false">IF(OR(ISNUMBER(SEARCH("ALL",$E35)),ISNUMBER(SEARCH("FIN",$E35))),1,0)</f>
        <v>1</v>
      </c>
      <c r="AA35" s="15" t="n">
        <f aca="false">IF(OR(ISNUMBER(SEARCH("ALL",$E35)),ISNUMBER(SEARCH("AGI",$E35))),1,0)</f>
        <v>1</v>
      </c>
    </row>
    <row r="36" customFormat="false" ht="15" hidden="false" customHeight="false" outlineLevel="0" collapsed="false">
      <c r="A36" s="15" t="s">
        <v>228</v>
      </c>
      <c r="B36" s="10" t="s">
        <v>229</v>
      </c>
      <c r="C36" s="15" t="s">
        <v>212</v>
      </c>
      <c r="D36" s="15" t="s">
        <v>186</v>
      </c>
      <c r="E36" s="15" t="s">
        <v>171</v>
      </c>
      <c r="F36" s="15" t="s">
        <v>230</v>
      </c>
      <c r="G36" s="15" t="s">
        <v>149</v>
      </c>
      <c r="H36" s="15"/>
      <c r="M36" s="16"/>
      <c r="N36" s="16"/>
      <c r="O36" s="16"/>
      <c r="P36" s="11"/>
      <c r="Q36" s="11"/>
      <c r="R36" s="11"/>
      <c r="S36" s="15" t="str">
        <f aca="false">IF($M36="","",IF(ISNUMBER($M36),"Measured",IF(ISNUMBER(SEARCH("DATA GAP",UPPER($M36))),"Gap",IF(AND($N36&lt;&gt;"",$P36&lt;&gt;"T5"),"Documented","Judged"))))</f>
        <v/>
      </c>
      <c r="T36" s="15" t="str">
        <f aca="false">IF($AC36&lt;&gt;"","",IF(OR($S36="",$S36="Gap"),"",IF($S36="Measured",1+IF($H36="H",IF($M36&gt;=$I36,1,0)+IF($M36&gt;=$J36,1,0)+IF($M36&gt;=$K36,1,0)+IF($M36&gt;=$L36,1,0),IF($M36&lt;=$I36,1,0)+IF($M36&lt;=$J36,1,0)+IF($M36&lt;=$K36,1,0)+IF($M36&lt;=$L36,1,0)),IF($R36&lt;&gt;"",$R36,""))))</f>
        <v/>
      </c>
      <c r="U36" s="15" t="str">
        <f aca="false">IF(OR($S36="",$S36="Gap",$Q36=""),"",IF($Q36&lt;Config!$C$2-Config!$C$3,"STALE",""))</f>
        <v/>
      </c>
      <c r="V36" s="15" t="n">
        <f aca="false">IF(OR(ISNUMBER(SEARCH("ALL",$E36)),ISNUMBER(SEARCH("ADV",$E36))),1,0)</f>
        <v>1</v>
      </c>
      <c r="W36" s="15" t="n">
        <f aca="false">IF(OR(ISNUMBER(SEARCH("ALL",$E36)),ISNUMBER(SEARCH("SMF",$E36))),1,0)</f>
        <v>1</v>
      </c>
      <c r="X36" s="15" t="n">
        <f aca="false">IF(OR(ISNUMBER(SEARCH("ALL",$E36)),ISNUMBER(SEARCH("MKT",$E36))),1,0)</f>
        <v>1</v>
      </c>
      <c r="Y36" s="15" t="n">
        <f aca="false">IF(OR(ISNUMBER(SEARCH("ALL",$E36)),ISNUMBER(SEARCH("SCM",$E36))),1,0)</f>
        <v>1</v>
      </c>
      <c r="Z36" s="15" t="n">
        <f aca="false">IF(OR(ISNUMBER(SEARCH("ALL",$E36)),ISNUMBER(SEARCH("FIN",$E36))),1,0)</f>
        <v>1</v>
      </c>
      <c r="AA36" s="15" t="n">
        <f aca="false">IF(OR(ISNUMBER(SEARCH("ALL",$E36)),ISNUMBER(SEARCH("AGI",$E36))),1,0)</f>
        <v>1</v>
      </c>
    </row>
    <row r="37" customFormat="false" ht="15" hidden="false" customHeight="false" outlineLevel="0" collapsed="false">
      <c r="A37" s="15" t="s">
        <v>231</v>
      </c>
      <c r="B37" s="10" t="s">
        <v>232</v>
      </c>
      <c r="C37" s="15" t="s">
        <v>233</v>
      </c>
      <c r="D37" s="15" t="s">
        <v>186</v>
      </c>
      <c r="E37" s="15" t="s">
        <v>171</v>
      </c>
      <c r="F37" s="15"/>
      <c r="G37" s="15" t="s">
        <v>143</v>
      </c>
      <c r="H37" s="15" t="s">
        <v>144</v>
      </c>
      <c r="I37" s="15" t="n">
        <v>50</v>
      </c>
      <c r="J37" s="15" t="n">
        <v>65</v>
      </c>
      <c r="K37" s="15" t="n">
        <v>80</v>
      </c>
      <c r="L37" s="15" t="n">
        <v>90</v>
      </c>
      <c r="M37" s="16"/>
      <c r="N37" s="16"/>
      <c r="O37" s="16"/>
      <c r="P37" s="11"/>
      <c r="Q37" s="11"/>
      <c r="R37" s="11"/>
      <c r="S37" s="15" t="str">
        <f aca="false">IF($M37="","",IF(ISNUMBER($M37),"Measured",IF(ISNUMBER(SEARCH("DATA GAP",UPPER($M37))),"Gap",IF(AND($N37&lt;&gt;"",$P37&lt;&gt;"T5"),"Documented","Judged"))))</f>
        <v/>
      </c>
      <c r="T37" s="15" t="str">
        <f aca="false">IF($AC37&lt;&gt;"","",IF(OR($S37="",$S37="Gap"),"",IF($S37="Measured",1+IF($H37="H",IF($M37&gt;=$I37,1,0)+IF($M37&gt;=$J37,1,0)+IF($M37&gt;=$K37,1,0)+IF($M37&gt;=$L37,1,0),IF($M37&lt;=$I37,1,0)+IF($M37&lt;=$J37,1,0)+IF($M37&lt;=$K37,1,0)+IF($M37&lt;=$L37,1,0)),IF($R37&lt;&gt;"",$R37,""))))</f>
        <v/>
      </c>
      <c r="U37" s="15" t="str">
        <f aca="false">IF(OR($S37="",$S37="Gap",$Q37=""),"",IF($Q37&lt;Config!$C$2-Config!$C$3,"STALE",""))</f>
        <v/>
      </c>
      <c r="V37" s="15" t="n">
        <f aca="false">IF(OR(ISNUMBER(SEARCH("ALL",$E37)),ISNUMBER(SEARCH("ADV",$E37))),1,0)</f>
        <v>1</v>
      </c>
      <c r="W37" s="15" t="n">
        <f aca="false">IF(OR(ISNUMBER(SEARCH("ALL",$E37)),ISNUMBER(SEARCH("SMF",$E37))),1,0)</f>
        <v>1</v>
      </c>
      <c r="X37" s="15" t="n">
        <f aca="false">IF(OR(ISNUMBER(SEARCH("ALL",$E37)),ISNUMBER(SEARCH("MKT",$E37))),1,0)</f>
        <v>1</v>
      </c>
      <c r="Y37" s="15" t="n">
        <f aca="false">IF(OR(ISNUMBER(SEARCH("ALL",$E37)),ISNUMBER(SEARCH("SCM",$E37))),1,0)</f>
        <v>1</v>
      </c>
      <c r="Z37" s="15" t="n">
        <f aca="false">IF(OR(ISNUMBER(SEARCH("ALL",$E37)),ISNUMBER(SEARCH("FIN",$E37))),1,0)</f>
        <v>1</v>
      </c>
      <c r="AA37" s="15" t="n">
        <f aca="false">IF(OR(ISNUMBER(SEARCH("ALL",$E37)),ISNUMBER(SEARCH("AGI",$E37))),1,0)</f>
        <v>1</v>
      </c>
    </row>
    <row r="38" customFormat="false" ht="15" hidden="false" customHeight="false" outlineLevel="0" collapsed="false">
      <c r="A38" s="15" t="s">
        <v>234</v>
      </c>
      <c r="B38" s="10" t="s">
        <v>235</v>
      </c>
      <c r="C38" s="15" t="s">
        <v>233</v>
      </c>
      <c r="D38" s="15" t="s">
        <v>186</v>
      </c>
      <c r="E38" s="15" t="s">
        <v>171</v>
      </c>
      <c r="F38" s="15"/>
      <c r="G38" s="15" t="s">
        <v>143</v>
      </c>
      <c r="H38" s="15" t="s">
        <v>144</v>
      </c>
      <c r="I38" s="15" t="n">
        <v>10</v>
      </c>
      <c r="J38" s="15" t="n">
        <v>20</v>
      </c>
      <c r="K38" s="15" t="n">
        <v>30</v>
      </c>
      <c r="L38" s="15" t="n">
        <v>40</v>
      </c>
      <c r="M38" s="16"/>
      <c r="N38" s="16"/>
      <c r="O38" s="16"/>
      <c r="P38" s="11"/>
      <c r="Q38" s="11"/>
      <c r="R38" s="11"/>
      <c r="S38" s="15" t="str">
        <f aca="false">IF($M38="","",IF(ISNUMBER($M38),"Measured",IF(ISNUMBER(SEARCH("DATA GAP",UPPER($M38))),"Gap",IF(AND($N38&lt;&gt;"",$P38&lt;&gt;"T5"),"Documented","Judged"))))</f>
        <v/>
      </c>
      <c r="T38" s="15" t="str">
        <f aca="false">IF($AC38&lt;&gt;"","",IF(OR($S38="",$S38="Gap"),"",IF($S38="Measured",1+IF($H38="H",IF($M38&gt;=$I38,1,0)+IF($M38&gt;=$J38,1,0)+IF($M38&gt;=$K38,1,0)+IF($M38&gt;=$L38,1,0),IF($M38&lt;=$I38,1,0)+IF($M38&lt;=$J38,1,0)+IF($M38&lt;=$K38,1,0)+IF($M38&lt;=$L38,1,0)),IF($R38&lt;&gt;"",$R38,""))))</f>
        <v/>
      </c>
      <c r="U38" s="15" t="str">
        <f aca="false">IF(OR($S38="",$S38="Gap",$Q38=""),"",IF($Q38&lt;Config!$C$2-Config!$C$3,"STALE",""))</f>
        <v/>
      </c>
      <c r="V38" s="15" t="n">
        <f aca="false">IF(OR(ISNUMBER(SEARCH("ALL",$E38)),ISNUMBER(SEARCH("ADV",$E38))),1,0)</f>
        <v>1</v>
      </c>
      <c r="W38" s="15" t="n">
        <f aca="false">IF(OR(ISNUMBER(SEARCH("ALL",$E38)),ISNUMBER(SEARCH("SMF",$E38))),1,0)</f>
        <v>1</v>
      </c>
      <c r="X38" s="15" t="n">
        <f aca="false">IF(OR(ISNUMBER(SEARCH("ALL",$E38)),ISNUMBER(SEARCH("MKT",$E38))),1,0)</f>
        <v>1</v>
      </c>
      <c r="Y38" s="15" t="n">
        <f aca="false">IF(OR(ISNUMBER(SEARCH("ALL",$E38)),ISNUMBER(SEARCH("SCM",$E38))),1,0)</f>
        <v>1</v>
      </c>
      <c r="Z38" s="15" t="n">
        <f aca="false">IF(OR(ISNUMBER(SEARCH("ALL",$E38)),ISNUMBER(SEARCH("FIN",$E38))),1,0)</f>
        <v>1</v>
      </c>
      <c r="AA38" s="15" t="n">
        <f aca="false">IF(OR(ISNUMBER(SEARCH("ALL",$E38)),ISNUMBER(SEARCH("AGI",$E38))),1,0)</f>
        <v>1</v>
      </c>
    </row>
    <row r="39" customFormat="false" ht="15" hidden="false" customHeight="false" outlineLevel="0" collapsed="false">
      <c r="A39" s="15" t="s">
        <v>236</v>
      </c>
      <c r="B39" s="10" t="s">
        <v>237</v>
      </c>
      <c r="C39" s="15" t="s">
        <v>233</v>
      </c>
      <c r="D39" s="15" t="s">
        <v>186</v>
      </c>
      <c r="E39" s="15" t="s">
        <v>171</v>
      </c>
      <c r="F39" s="15"/>
      <c r="G39" s="15" t="s">
        <v>143</v>
      </c>
      <c r="H39" s="15" t="s">
        <v>144</v>
      </c>
      <c r="I39" s="15" t="n">
        <v>10</v>
      </c>
      <c r="J39" s="15" t="n">
        <v>25</v>
      </c>
      <c r="K39" s="15" t="n">
        <v>50</v>
      </c>
      <c r="L39" s="15" t="n">
        <v>75</v>
      </c>
      <c r="M39" s="16"/>
      <c r="N39" s="16"/>
      <c r="O39" s="16"/>
      <c r="P39" s="11"/>
      <c r="Q39" s="11"/>
      <c r="R39" s="11"/>
      <c r="S39" s="15" t="str">
        <f aca="false">IF($M39="","",IF(ISNUMBER($M39),"Measured",IF(ISNUMBER(SEARCH("DATA GAP",UPPER($M39))),"Gap",IF(AND($N39&lt;&gt;"",$P39&lt;&gt;"T5"),"Documented","Judged"))))</f>
        <v/>
      </c>
      <c r="T39" s="15" t="str">
        <f aca="false">IF($AC39&lt;&gt;"","",IF(OR($S39="",$S39="Gap"),"",IF($S39="Measured",1+IF($H39="H",IF($M39&gt;=$I39,1,0)+IF($M39&gt;=$J39,1,0)+IF($M39&gt;=$K39,1,0)+IF($M39&gt;=$L39,1,0),IF($M39&lt;=$I39,1,0)+IF($M39&lt;=$J39,1,0)+IF($M39&lt;=$K39,1,0)+IF($M39&lt;=$L39,1,0)),IF($R39&lt;&gt;"",$R39,""))))</f>
        <v/>
      </c>
      <c r="U39" s="15" t="str">
        <f aca="false">IF(OR($S39="",$S39="Gap",$Q39=""),"",IF($Q39&lt;Config!$C$2-Config!$C$3,"STALE",""))</f>
        <v/>
      </c>
      <c r="V39" s="15" t="n">
        <f aca="false">IF(OR(ISNUMBER(SEARCH("ALL",$E39)),ISNUMBER(SEARCH("ADV",$E39))),1,0)</f>
        <v>1</v>
      </c>
      <c r="W39" s="15" t="n">
        <f aca="false">IF(OR(ISNUMBER(SEARCH("ALL",$E39)),ISNUMBER(SEARCH("SMF",$E39))),1,0)</f>
        <v>1</v>
      </c>
      <c r="X39" s="15" t="n">
        <f aca="false">IF(OR(ISNUMBER(SEARCH("ALL",$E39)),ISNUMBER(SEARCH("MKT",$E39))),1,0)</f>
        <v>1</v>
      </c>
      <c r="Y39" s="15" t="n">
        <f aca="false">IF(OR(ISNUMBER(SEARCH("ALL",$E39)),ISNUMBER(SEARCH("SCM",$E39))),1,0)</f>
        <v>1</v>
      </c>
      <c r="Z39" s="15" t="n">
        <f aca="false">IF(OR(ISNUMBER(SEARCH("ALL",$E39)),ISNUMBER(SEARCH("FIN",$E39))),1,0)</f>
        <v>1</v>
      </c>
      <c r="AA39" s="15" t="n">
        <f aca="false">IF(OR(ISNUMBER(SEARCH("ALL",$E39)),ISNUMBER(SEARCH("AGI",$E39))),1,0)</f>
        <v>1</v>
      </c>
    </row>
    <row r="40" customFormat="false" ht="15" hidden="false" customHeight="false" outlineLevel="0" collapsed="false">
      <c r="A40" s="15" t="s">
        <v>238</v>
      </c>
      <c r="B40" s="10" t="s">
        <v>239</v>
      </c>
      <c r="C40" s="15" t="s">
        <v>233</v>
      </c>
      <c r="D40" s="15" t="s">
        <v>186</v>
      </c>
      <c r="E40" s="15" t="s">
        <v>240</v>
      </c>
      <c r="F40" s="15" t="s">
        <v>241</v>
      </c>
      <c r="G40" s="15" t="s">
        <v>149</v>
      </c>
      <c r="H40" s="15"/>
      <c r="M40" s="16"/>
      <c r="N40" s="16"/>
      <c r="O40" s="16"/>
      <c r="P40" s="11"/>
      <c r="Q40" s="11"/>
      <c r="R40" s="11"/>
      <c r="S40" s="15" t="str">
        <f aca="false">IF($M40="","",IF(ISNUMBER($M40),"Measured",IF(ISNUMBER(SEARCH("DATA GAP",UPPER($M40))),"Gap",IF(AND($N40&lt;&gt;"",$P40&lt;&gt;"T5"),"Documented","Judged"))))</f>
        <v/>
      </c>
      <c r="T40" s="15" t="str">
        <f aca="false">IF($AC40&lt;&gt;"","",IF(OR($S40="",$S40="Gap"),"",IF($S40="Measured",1+IF($H40="H",IF($M40&gt;=$I40,1,0)+IF($M40&gt;=$J40,1,0)+IF($M40&gt;=$K40,1,0)+IF($M40&gt;=$L40,1,0),IF($M40&lt;=$I40,1,0)+IF($M40&lt;=$J40,1,0)+IF($M40&lt;=$K40,1,0)+IF($M40&lt;=$L40,1,0)),IF($R40&lt;&gt;"",$R40,""))))</f>
        <v/>
      </c>
      <c r="U40" s="15" t="str">
        <f aca="false">IF(OR($S40="",$S40="Gap",$Q40=""),"",IF($Q40&lt;Config!$C$2-Config!$C$3,"STALE",""))</f>
        <v/>
      </c>
      <c r="V40" s="15" t="n">
        <f aca="false">IF(OR(ISNUMBER(SEARCH("ALL",$E40)),ISNUMBER(SEARCH("ADV",$E40))),1,0)</f>
        <v>1</v>
      </c>
      <c r="W40" s="15" t="n">
        <f aca="false">IF(OR(ISNUMBER(SEARCH("ALL",$E40)),ISNUMBER(SEARCH("SMF",$E40))),1,0)</f>
        <v>0</v>
      </c>
      <c r="X40" s="15" t="n">
        <f aca="false">IF(OR(ISNUMBER(SEARCH("ALL",$E40)),ISNUMBER(SEARCH("MKT",$E40))),1,0)</f>
        <v>0</v>
      </c>
      <c r="Y40" s="15" t="n">
        <f aca="false">IF(OR(ISNUMBER(SEARCH("ALL",$E40)),ISNUMBER(SEARCH("SCM",$E40))),1,0)</f>
        <v>0</v>
      </c>
      <c r="Z40" s="15" t="n">
        <f aca="false">IF(OR(ISNUMBER(SEARCH("ALL",$E40)),ISNUMBER(SEARCH("FIN",$E40))),1,0)</f>
        <v>0</v>
      </c>
      <c r="AA40" s="15" t="n">
        <f aca="false">IF(OR(ISNUMBER(SEARCH("ALL",$E40)),ISNUMBER(SEARCH("AGI",$E40))),1,0)</f>
        <v>0</v>
      </c>
    </row>
    <row r="41" customFormat="false" ht="15" hidden="false" customHeight="false" outlineLevel="0" collapsed="false">
      <c r="A41" s="15" t="s">
        <v>242</v>
      </c>
      <c r="B41" s="10" t="s">
        <v>243</v>
      </c>
      <c r="C41" s="15" t="s">
        <v>233</v>
      </c>
      <c r="D41" s="15" t="s">
        <v>186</v>
      </c>
      <c r="E41" s="15" t="s">
        <v>171</v>
      </c>
      <c r="F41" s="15" t="s">
        <v>230</v>
      </c>
      <c r="G41" s="15" t="s">
        <v>149</v>
      </c>
      <c r="H41" s="15"/>
      <c r="M41" s="16"/>
      <c r="N41" s="16"/>
      <c r="O41" s="16"/>
      <c r="P41" s="11"/>
      <c r="Q41" s="11"/>
      <c r="R41" s="11"/>
      <c r="S41" s="15" t="str">
        <f aca="false">IF($M41="","",IF(ISNUMBER($M41),"Measured",IF(ISNUMBER(SEARCH("DATA GAP",UPPER($M41))),"Gap",IF(AND($N41&lt;&gt;"",$P41&lt;&gt;"T5"),"Documented","Judged"))))</f>
        <v/>
      </c>
      <c r="T41" s="15" t="str">
        <f aca="false">IF($AC41&lt;&gt;"","",IF(OR($S41="",$S41="Gap"),"",IF($S41="Measured",1+IF($H41="H",IF($M41&gt;=$I41,1,0)+IF($M41&gt;=$J41,1,0)+IF($M41&gt;=$K41,1,0)+IF($M41&gt;=$L41,1,0),IF($M41&lt;=$I41,1,0)+IF($M41&lt;=$J41,1,0)+IF($M41&lt;=$K41,1,0)+IF($M41&lt;=$L41,1,0)),IF($R41&lt;&gt;"",$R41,""))))</f>
        <v/>
      </c>
      <c r="U41" s="15" t="str">
        <f aca="false">IF(OR($S41="",$S41="Gap",$Q41=""),"",IF($Q41&lt;Config!$C$2-Config!$C$3,"STALE",""))</f>
        <v/>
      </c>
      <c r="V41" s="15" t="n">
        <f aca="false">IF(OR(ISNUMBER(SEARCH("ALL",$E41)),ISNUMBER(SEARCH("ADV",$E41))),1,0)</f>
        <v>1</v>
      </c>
      <c r="W41" s="15" t="n">
        <f aca="false">IF(OR(ISNUMBER(SEARCH("ALL",$E41)),ISNUMBER(SEARCH("SMF",$E41))),1,0)</f>
        <v>1</v>
      </c>
      <c r="X41" s="15" t="n">
        <f aca="false">IF(OR(ISNUMBER(SEARCH("ALL",$E41)),ISNUMBER(SEARCH("MKT",$E41))),1,0)</f>
        <v>1</v>
      </c>
      <c r="Y41" s="15" t="n">
        <f aca="false">IF(OR(ISNUMBER(SEARCH("ALL",$E41)),ISNUMBER(SEARCH("SCM",$E41))),1,0)</f>
        <v>1</v>
      </c>
      <c r="Z41" s="15" t="n">
        <f aca="false">IF(OR(ISNUMBER(SEARCH("ALL",$E41)),ISNUMBER(SEARCH("FIN",$E41))),1,0)</f>
        <v>1</v>
      </c>
      <c r="AA41" s="15" t="n">
        <f aca="false">IF(OR(ISNUMBER(SEARCH("ALL",$E41)),ISNUMBER(SEARCH("AGI",$E41))),1,0)</f>
        <v>1</v>
      </c>
    </row>
    <row r="42" customFormat="false" ht="15" hidden="false" customHeight="false" outlineLevel="0" collapsed="false">
      <c r="A42" s="15" t="s">
        <v>244</v>
      </c>
      <c r="B42" s="10" t="s">
        <v>245</v>
      </c>
      <c r="C42" s="15" t="s">
        <v>233</v>
      </c>
      <c r="D42" s="15" t="s">
        <v>186</v>
      </c>
      <c r="E42" s="15" t="s">
        <v>171</v>
      </c>
      <c r="F42" s="15"/>
      <c r="G42" s="15" t="s">
        <v>149</v>
      </c>
      <c r="H42" s="15"/>
      <c r="M42" s="16"/>
      <c r="N42" s="16"/>
      <c r="O42" s="16"/>
      <c r="P42" s="11"/>
      <c r="Q42" s="11"/>
      <c r="R42" s="11"/>
      <c r="S42" s="15" t="str">
        <f aca="false">IF($M42="","",IF(ISNUMBER($M42),"Measured",IF(ISNUMBER(SEARCH("DATA GAP",UPPER($M42))),"Gap",IF(AND($N42&lt;&gt;"",$P42&lt;&gt;"T5"),"Documented","Judged"))))</f>
        <v/>
      </c>
      <c r="T42" s="15" t="str">
        <f aca="false">IF($AC42&lt;&gt;"","",IF(OR($S42="",$S42="Gap"),"",IF($S42="Measured",1+IF($H42="H",IF($M42&gt;=$I42,1,0)+IF($M42&gt;=$J42,1,0)+IF($M42&gt;=$K42,1,0)+IF($M42&gt;=$L42,1,0),IF($M42&lt;=$I42,1,0)+IF($M42&lt;=$J42,1,0)+IF($M42&lt;=$K42,1,0)+IF($M42&lt;=$L42,1,0)),IF($R42&lt;&gt;"",$R42,""))))</f>
        <v/>
      </c>
      <c r="U42" s="15" t="str">
        <f aca="false">IF(OR($S42="",$S42="Gap",$Q42=""),"",IF($Q42&lt;Config!$C$2-Config!$C$3,"STALE",""))</f>
        <v/>
      </c>
      <c r="V42" s="15" t="n">
        <f aca="false">IF(OR(ISNUMBER(SEARCH("ALL",$E42)),ISNUMBER(SEARCH("ADV",$E42))),1,0)</f>
        <v>1</v>
      </c>
      <c r="W42" s="15" t="n">
        <f aca="false">IF(OR(ISNUMBER(SEARCH("ALL",$E42)),ISNUMBER(SEARCH("SMF",$E42))),1,0)</f>
        <v>1</v>
      </c>
      <c r="X42" s="15" t="n">
        <f aca="false">IF(OR(ISNUMBER(SEARCH("ALL",$E42)),ISNUMBER(SEARCH("MKT",$E42))),1,0)</f>
        <v>1</v>
      </c>
      <c r="Y42" s="15" t="n">
        <f aca="false">IF(OR(ISNUMBER(SEARCH("ALL",$E42)),ISNUMBER(SEARCH("SCM",$E42))),1,0)</f>
        <v>1</v>
      </c>
      <c r="Z42" s="15" t="n">
        <f aca="false">IF(OR(ISNUMBER(SEARCH("ALL",$E42)),ISNUMBER(SEARCH("FIN",$E42))),1,0)</f>
        <v>1</v>
      </c>
      <c r="AA42" s="15" t="n">
        <f aca="false">IF(OR(ISNUMBER(SEARCH("ALL",$E42)),ISNUMBER(SEARCH("AGI",$E42))),1,0)</f>
        <v>1</v>
      </c>
    </row>
    <row r="43" customFormat="false" ht="15" hidden="false" customHeight="false" outlineLevel="0" collapsed="false">
      <c r="A43" s="15" t="s">
        <v>246</v>
      </c>
      <c r="B43" s="10" t="s">
        <v>247</v>
      </c>
      <c r="C43" s="15" t="s">
        <v>233</v>
      </c>
      <c r="D43" s="15" t="s">
        <v>186</v>
      </c>
      <c r="E43" s="15" t="s">
        <v>248</v>
      </c>
      <c r="F43" s="15"/>
      <c r="G43" s="15" t="s">
        <v>143</v>
      </c>
      <c r="H43" s="15" t="s">
        <v>144</v>
      </c>
      <c r="I43" s="15" t="n">
        <v>20</v>
      </c>
      <c r="J43" s="15" t="n">
        <v>35</v>
      </c>
      <c r="K43" s="15" t="n">
        <v>45</v>
      </c>
      <c r="L43" s="15" t="n">
        <v>50</v>
      </c>
      <c r="M43" s="16"/>
      <c r="N43" s="16"/>
      <c r="O43" s="16"/>
      <c r="P43" s="11"/>
      <c r="Q43" s="11"/>
      <c r="R43" s="11"/>
      <c r="S43" s="15" t="str">
        <f aca="false">IF($M43="","",IF(ISNUMBER($M43),"Measured",IF(ISNUMBER(SEARCH("DATA GAP",UPPER($M43))),"Gap",IF(AND($N43&lt;&gt;"",$P43&lt;&gt;"T5"),"Documented","Judged"))))</f>
        <v/>
      </c>
      <c r="T43" s="15" t="str">
        <f aca="false">IF($AC43&lt;&gt;"","",IF(OR($S43="",$S43="Gap"),"",IF($S43="Measured",1+IF($H43="H",IF($M43&gt;=$I43,1,0)+IF($M43&gt;=$J43,1,0)+IF($M43&gt;=$K43,1,0)+IF($M43&gt;=$L43,1,0),IF($M43&lt;=$I43,1,0)+IF($M43&lt;=$J43,1,0)+IF($M43&lt;=$K43,1,0)+IF($M43&lt;=$L43,1,0)),IF($R43&lt;&gt;"",$R43,""))))</f>
        <v/>
      </c>
      <c r="U43" s="15" t="str">
        <f aca="false">IF(OR($S43="",$S43="Gap",$Q43=""),"",IF($Q43&lt;Config!$C$2-Config!$C$3,"STALE",""))</f>
        <v/>
      </c>
      <c r="V43" s="15" t="n">
        <f aca="false">IF(OR(ISNUMBER(SEARCH("ALL",$E43)),ISNUMBER(SEARCH("ADV",$E43))),1,0)</f>
        <v>1</v>
      </c>
      <c r="W43" s="15" t="n">
        <f aca="false">IF(OR(ISNUMBER(SEARCH("ALL",$E43)),ISNUMBER(SEARCH("SMF",$E43))),1,0)</f>
        <v>0</v>
      </c>
      <c r="X43" s="15" t="n">
        <f aca="false">IF(OR(ISNUMBER(SEARCH("ALL",$E43)),ISNUMBER(SEARCH("MKT",$E43))),1,0)</f>
        <v>0</v>
      </c>
      <c r="Y43" s="15" t="n">
        <f aca="false">IF(OR(ISNUMBER(SEARCH("ALL",$E43)),ISNUMBER(SEARCH("SCM",$E43))),1,0)</f>
        <v>0</v>
      </c>
      <c r="Z43" s="15" t="n">
        <f aca="false">IF(OR(ISNUMBER(SEARCH("ALL",$E43)),ISNUMBER(SEARCH("FIN",$E43))),1,0)</f>
        <v>0</v>
      </c>
      <c r="AA43" s="15" t="n">
        <f aca="false">IF(OR(ISNUMBER(SEARCH("ALL",$E43)),ISNUMBER(SEARCH("AGI",$E43))),1,0)</f>
        <v>0</v>
      </c>
    </row>
    <row r="44" customFormat="false" ht="15" hidden="false" customHeight="false" outlineLevel="0" collapsed="false">
      <c r="A44" s="15" t="s">
        <v>249</v>
      </c>
      <c r="B44" s="10" t="s">
        <v>250</v>
      </c>
      <c r="C44" s="15" t="s">
        <v>251</v>
      </c>
      <c r="D44" s="15" t="s">
        <v>186</v>
      </c>
      <c r="E44" s="15" t="s">
        <v>171</v>
      </c>
      <c r="F44" s="15"/>
      <c r="G44" s="15" t="s">
        <v>143</v>
      </c>
      <c r="H44" s="15" t="s">
        <v>144</v>
      </c>
      <c r="I44" s="15" t="n">
        <v>25</v>
      </c>
      <c r="J44" s="15" t="n">
        <v>35</v>
      </c>
      <c r="K44" s="15" t="n">
        <v>45</v>
      </c>
      <c r="L44" s="15" t="n">
        <v>55</v>
      </c>
      <c r="M44" s="16"/>
      <c r="N44" s="16"/>
      <c r="O44" s="16"/>
      <c r="P44" s="11"/>
      <c r="Q44" s="11"/>
      <c r="R44" s="11"/>
      <c r="S44" s="15" t="str">
        <f aca="false">IF($M44="","",IF(ISNUMBER($M44),"Measured",IF(ISNUMBER(SEARCH("DATA GAP",UPPER($M44))),"Gap",IF(AND($N44&lt;&gt;"",$P44&lt;&gt;"T5"),"Documented","Judged"))))</f>
        <v/>
      </c>
      <c r="T44" s="15" t="str">
        <f aca="false">IF($AC44&lt;&gt;"","",IF(OR($S44="",$S44="Gap"),"",IF($S44="Measured",1+IF($H44="H",IF($M44&gt;=$I44,1,0)+IF($M44&gt;=$J44,1,0)+IF($M44&gt;=$K44,1,0)+IF($M44&gt;=$L44,1,0),IF($M44&lt;=$I44,1,0)+IF($M44&lt;=$J44,1,0)+IF($M44&lt;=$K44,1,0)+IF($M44&lt;=$L44,1,0)),IF($R44&lt;&gt;"",$R44,""))))</f>
        <v/>
      </c>
      <c r="U44" s="15" t="str">
        <f aca="false">IF(OR($S44="",$S44="Gap",$Q44=""),"",IF($Q44&lt;Config!$C$2-Config!$C$3,"STALE",""))</f>
        <v/>
      </c>
      <c r="V44" s="15" t="n">
        <f aca="false">IF(OR(ISNUMBER(SEARCH("ALL",$E44)),ISNUMBER(SEARCH("ADV",$E44))),1,0)</f>
        <v>1</v>
      </c>
      <c r="W44" s="15" t="n">
        <f aca="false">IF(OR(ISNUMBER(SEARCH("ALL",$E44)),ISNUMBER(SEARCH("SMF",$E44))),1,0)</f>
        <v>1</v>
      </c>
      <c r="X44" s="15" t="n">
        <f aca="false">IF(OR(ISNUMBER(SEARCH("ALL",$E44)),ISNUMBER(SEARCH("MKT",$E44))),1,0)</f>
        <v>1</v>
      </c>
      <c r="Y44" s="15" t="n">
        <f aca="false">IF(OR(ISNUMBER(SEARCH("ALL",$E44)),ISNUMBER(SEARCH("SCM",$E44))),1,0)</f>
        <v>1</v>
      </c>
      <c r="Z44" s="15" t="n">
        <f aca="false">IF(OR(ISNUMBER(SEARCH("ALL",$E44)),ISNUMBER(SEARCH("FIN",$E44))),1,0)</f>
        <v>1</v>
      </c>
      <c r="AA44" s="15" t="n">
        <f aca="false">IF(OR(ISNUMBER(SEARCH("ALL",$E44)),ISNUMBER(SEARCH("AGI",$E44))),1,0)</f>
        <v>1</v>
      </c>
    </row>
    <row r="45" customFormat="false" ht="15" hidden="false" customHeight="false" outlineLevel="0" collapsed="false">
      <c r="A45" s="15" t="s">
        <v>252</v>
      </c>
      <c r="B45" s="10" t="s">
        <v>253</v>
      </c>
      <c r="C45" s="15" t="s">
        <v>251</v>
      </c>
      <c r="D45" s="15" t="s">
        <v>186</v>
      </c>
      <c r="E45" s="15" t="s">
        <v>171</v>
      </c>
      <c r="F45" s="15"/>
      <c r="G45" s="15" t="s">
        <v>143</v>
      </c>
      <c r="H45" s="15" t="s">
        <v>144</v>
      </c>
      <c r="I45" s="15" t="n">
        <v>30</v>
      </c>
      <c r="J45" s="15" t="n">
        <v>45</v>
      </c>
      <c r="K45" s="15" t="n">
        <v>60</v>
      </c>
      <c r="L45" s="15" t="n">
        <v>75</v>
      </c>
      <c r="M45" s="16"/>
      <c r="N45" s="16"/>
      <c r="O45" s="16"/>
      <c r="P45" s="11"/>
      <c r="Q45" s="11"/>
      <c r="R45" s="11"/>
      <c r="S45" s="15" t="str">
        <f aca="false">IF($M45="","",IF(ISNUMBER($M45),"Measured",IF(ISNUMBER(SEARCH("DATA GAP",UPPER($M45))),"Gap",IF(AND($N45&lt;&gt;"",$P45&lt;&gt;"T5"),"Documented","Judged"))))</f>
        <v/>
      </c>
      <c r="T45" s="15" t="str">
        <f aca="false">IF($AC45&lt;&gt;"","",IF(OR($S45="",$S45="Gap"),"",IF($S45="Measured",1+IF($H45="H",IF($M45&gt;=$I45,1,0)+IF($M45&gt;=$J45,1,0)+IF($M45&gt;=$K45,1,0)+IF($M45&gt;=$L45,1,0),IF($M45&lt;=$I45,1,0)+IF($M45&lt;=$J45,1,0)+IF($M45&lt;=$K45,1,0)+IF($M45&lt;=$L45,1,0)),IF($R45&lt;&gt;"",$R45,""))))</f>
        <v/>
      </c>
      <c r="U45" s="15" t="str">
        <f aca="false">IF(OR($S45="",$S45="Gap",$Q45=""),"",IF($Q45&lt;Config!$C$2-Config!$C$3,"STALE",""))</f>
        <v/>
      </c>
      <c r="V45" s="15" t="n">
        <f aca="false">IF(OR(ISNUMBER(SEARCH("ALL",$E45)),ISNUMBER(SEARCH("ADV",$E45))),1,0)</f>
        <v>1</v>
      </c>
      <c r="W45" s="15" t="n">
        <f aca="false">IF(OR(ISNUMBER(SEARCH("ALL",$E45)),ISNUMBER(SEARCH("SMF",$E45))),1,0)</f>
        <v>1</v>
      </c>
      <c r="X45" s="15" t="n">
        <f aca="false">IF(OR(ISNUMBER(SEARCH("ALL",$E45)),ISNUMBER(SEARCH("MKT",$E45))),1,0)</f>
        <v>1</v>
      </c>
      <c r="Y45" s="15" t="n">
        <f aca="false">IF(OR(ISNUMBER(SEARCH("ALL",$E45)),ISNUMBER(SEARCH("SCM",$E45))),1,0)</f>
        <v>1</v>
      </c>
      <c r="Z45" s="15" t="n">
        <f aca="false">IF(OR(ISNUMBER(SEARCH("ALL",$E45)),ISNUMBER(SEARCH("FIN",$E45))),1,0)</f>
        <v>1</v>
      </c>
      <c r="AA45" s="15" t="n">
        <f aca="false">IF(OR(ISNUMBER(SEARCH("ALL",$E45)),ISNUMBER(SEARCH("AGI",$E45))),1,0)</f>
        <v>1</v>
      </c>
    </row>
    <row r="46" customFormat="false" ht="15" hidden="false" customHeight="false" outlineLevel="0" collapsed="false">
      <c r="A46" s="15" t="s">
        <v>254</v>
      </c>
      <c r="B46" s="10" t="s">
        <v>255</v>
      </c>
      <c r="C46" s="15" t="s">
        <v>251</v>
      </c>
      <c r="D46" s="15" t="s">
        <v>256</v>
      </c>
      <c r="E46" s="15" t="s">
        <v>171</v>
      </c>
      <c r="F46" s="15"/>
      <c r="G46" s="15" t="s">
        <v>149</v>
      </c>
      <c r="H46" s="15"/>
      <c r="M46" s="16"/>
      <c r="N46" s="16"/>
      <c r="O46" s="16"/>
      <c r="P46" s="11"/>
      <c r="Q46" s="11"/>
      <c r="R46" s="11"/>
      <c r="S46" s="15" t="str">
        <f aca="false">IF($M46="","",IF(ISNUMBER($M46),"Measured",IF(ISNUMBER(SEARCH("DATA GAP",UPPER($M46))),"Gap",IF(AND($N46&lt;&gt;"",$P46&lt;&gt;"T5"),"Documented","Judged"))))</f>
        <v/>
      </c>
      <c r="T46" s="15" t="str">
        <f aca="false">IF($AC46&lt;&gt;"","",IF(OR($S46="",$S46="Gap"),"",IF($S46="Measured",1+IF($H46="H",IF($M46&gt;=$I46,1,0)+IF($M46&gt;=$J46,1,0)+IF($M46&gt;=$K46,1,0)+IF($M46&gt;=$L46,1,0),IF($M46&lt;=$I46,1,0)+IF($M46&lt;=$J46,1,0)+IF($M46&lt;=$K46,1,0)+IF($M46&lt;=$L46,1,0)),IF($R46&lt;&gt;"",$R46,""))))</f>
        <v/>
      </c>
      <c r="U46" s="15" t="str">
        <f aca="false">IF(OR($S46="",$S46="Gap",$Q46=""),"",IF($Q46&lt;Config!$C$2-Config!$C$3,"STALE",""))</f>
        <v/>
      </c>
      <c r="V46" s="15" t="n">
        <f aca="false">IF(OR(ISNUMBER(SEARCH("ALL",$E46)),ISNUMBER(SEARCH("ADV",$E46))),1,0)</f>
        <v>1</v>
      </c>
      <c r="W46" s="15" t="n">
        <f aca="false">IF(OR(ISNUMBER(SEARCH("ALL",$E46)),ISNUMBER(SEARCH("SMF",$E46))),1,0)</f>
        <v>1</v>
      </c>
      <c r="X46" s="15" t="n">
        <f aca="false">IF(OR(ISNUMBER(SEARCH("ALL",$E46)),ISNUMBER(SEARCH("MKT",$E46))),1,0)</f>
        <v>1</v>
      </c>
      <c r="Y46" s="15" t="n">
        <f aca="false">IF(OR(ISNUMBER(SEARCH("ALL",$E46)),ISNUMBER(SEARCH("SCM",$E46))),1,0)</f>
        <v>1</v>
      </c>
      <c r="Z46" s="15" t="n">
        <f aca="false">IF(OR(ISNUMBER(SEARCH("ALL",$E46)),ISNUMBER(SEARCH("FIN",$E46))),1,0)</f>
        <v>1</v>
      </c>
      <c r="AA46" s="15" t="n">
        <f aca="false">IF(OR(ISNUMBER(SEARCH("ALL",$E46)),ISNUMBER(SEARCH("AGI",$E46))),1,0)</f>
        <v>1</v>
      </c>
    </row>
    <row r="47" customFormat="false" ht="15" hidden="false" customHeight="false" outlineLevel="0" collapsed="false">
      <c r="A47" s="15" t="s">
        <v>257</v>
      </c>
      <c r="B47" s="10" t="s">
        <v>258</v>
      </c>
      <c r="C47" s="15" t="s">
        <v>251</v>
      </c>
      <c r="D47" s="15" t="s">
        <v>256</v>
      </c>
      <c r="E47" s="15" t="s">
        <v>259</v>
      </c>
      <c r="F47" s="15"/>
      <c r="G47" s="15" t="s">
        <v>149</v>
      </c>
      <c r="H47" s="15"/>
      <c r="M47" s="16"/>
      <c r="N47" s="16"/>
      <c r="O47" s="16"/>
      <c r="P47" s="11"/>
      <c r="Q47" s="11"/>
      <c r="R47" s="11"/>
      <c r="S47" s="15" t="str">
        <f aca="false">IF($M47="","",IF(ISNUMBER($M47),"Measured",IF(ISNUMBER(SEARCH("DATA GAP",UPPER($M47))),"Gap",IF(AND($N47&lt;&gt;"",$P47&lt;&gt;"T5"),"Documented","Judged"))))</f>
        <v/>
      </c>
      <c r="T47" s="15" t="str">
        <f aca="false">IF($AC47&lt;&gt;"","",IF(OR($S47="",$S47="Gap"),"",IF($S47="Measured",1+IF($H47="H",IF($M47&gt;=$I47,1,0)+IF($M47&gt;=$J47,1,0)+IF($M47&gt;=$K47,1,0)+IF($M47&gt;=$L47,1,0),IF($M47&lt;=$I47,1,0)+IF($M47&lt;=$J47,1,0)+IF($M47&lt;=$K47,1,0)+IF($M47&lt;=$L47,1,0)),IF($R47&lt;&gt;"",$R47,""))))</f>
        <v/>
      </c>
      <c r="U47" s="15" t="str">
        <f aca="false">IF(OR($S47="",$S47="Gap",$Q47=""),"",IF($Q47&lt;Config!$C$2-Config!$C$3,"STALE",""))</f>
        <v/>
      </c>
      <c r="V47" s="15" t="n">
        <f aca="false">IF(OR(ISNUMBER(SEARCH("ALL",$E47)),ISNUMBER(SEARCH("ADV",$E47))),1,0)</f>
        <v>1</v>
      </c>
      <c r="W47" s="15" t="n">
        <f aca="false">IF(OR(ISNUMBER(SEARCH("ALL",$E47)),ISNUMBER(SEARCH("SMF",$E47))),1,0)</f>
        <v>0</v>
      </c>
      <c r="X47" s="15" t="n">
        <f aca="false">IF(OR(ISNUMBER(SEARCH("ALL",$E47)),ISNUMBER(SEARCH("MKT",$E47))),1,0)</f>
        <v>0</v>
      </c>
      <c r="Y47" s="15" t="n">
        <f aca="false">IF(OR(ISNUMBER(SEARCH("ALL",$E47)),ISNUMBER(SEARCH("SCM",$E47))),1,0)</f>
        <v>1</v>
      </c>
      <c r="Z47" s="15" t="n">
        <f aca="false">IF(OR(ISNUMBER(SEARCH("ALL",$E47)),ISNUMBER(SEARCH("FIN",$E47))),1,0)</f>
        <v>0</v>
      </c>
      <c r="AA47" s="15" t="n">
        <f aca="false">IF(OR(ISNUMBER(SEARCH("ALL",$E47)),ISNUMBER(SEARCH("AGI",$E47))),1,0)</f>
        <v>1</v>
      </c>
    </row>
    <row r="48" customFormat="false" ht="15" hidden="false" customHeight="false" outlineLevel="0" collapsed="false">
      <c r="A48" s="15" t="s">
        <v>260</v>
      </c>
      <c r="B48" s="10" t="s">
        <v>261</v>
      </c>
      <c r="C48" s="15" t="s">
        <v>251</v>
      </c>
      <c r="D48" s="15" t="s">
        <v>256</v>
      </c>
      <c r="E48" s="15" t="s">
        <v>171</v>
      </c>
      <c r="F48" s="15"/>
      <c r="G48" s="15" t="s">
        <v>149</v>
      </c>
      <c r="H48" s="15"/>
      <c r="M48" s="16"/>
      <c r="N48" s="16"/>
      <c r="O48" s="16"/>
      <c r="P48" s="11"/>
      <c r="Q48" s="11"/>
      <c r="R48" s="11"/>
      <c r="S48" s="15" t="str">
        <f aca="false">IF($M48="","",IF(ISNUMBER($M48),"Measured",IF(ISNUMBER(SEARCH("DATA GAP",UPPER($M48))),"Gap",IF(AND($N48&lt;&gt;"",$P48&lt;&gt;"T5"),"Documented","Judged"))))</f>
        <v/>
      </c>
      <c r="T48" s="15" t="str">
        <f aca="false">IF($AC48&lt;&gt;"","",IF(OR($S48="",$S48="Gap"),"",IF($S48="Measured",1+IF($H48="H",IF($M48&gt;=$I48,1,0)+IF($M48&gt;=$J48,1,0)+IF($M48&gt;=$K48,1,0)+IF($M48&gt;=$L48,1,0),IF($M48&lt;=$I48,1,0)+IF($M48&lt;=$J48,1,0)+IF($M48&lt;=$K48,1,0)+IF($M48&lt;=$L48,1,0)),IF($R48&lt;&gt;"",$R48,""))))</f>
        <v/>
      </c>
      <c r="U48" s="15" t="str">
        <f aca="false">IF(OR($S48="",$S48="Gap",$Q48=""),"",IF($Q48&lt;Config!$C$2-Config!$C$3,"STALE",""))</f>
        <v/>
      </c>
      <c r="V48" s="15" t="n">
        <f aca="false">IF(OR(ISNUMBER(SEARCH("ALL",$E48)),ISNUMBER(SEARCH("ADV",$E48))),1,0)</f>
        <v>1</v>
      </c>
      <c r="W48" s="15" t="n">
        <f aca="false">IF(OR(ISNUMBER(SEARCH("ALL",$E48)),ISNUMBER(SEARCH("SMF",$E48))),1,0)</f>
        <v>1</v>
      </c>
      <c r="X48" s="15" t="n">
        <f aca="false">IF(OR(ISNUMBER(SEARCH("ALL",$E48)),ISNUMBER(SEARCH("MKT",$E48))),1,0)</f>
        <v>1</v>
      </c>
      <c r="Y48" s="15" t="n">
        <f aca="false">IF(OR(ISNUMBER(SEARCH("ALL",$E48)),ISNUMBER(SEARCH("SCM",$E48))),1,0)</f>
        <v>1</v>
      </c>
      <c r="Z48" s="15" t="n">
        <f aca="false">IF(OR(ISNUMBER(SEARCH("ALL",$E48)),ISNUMBER(SEARCH("FIN",$E48))),1,0)</f>
        <v>1</v>
      </c>
      <c r="AA48" s="15" t="n">
        <f aca="false">IF(OR(ISNUMBER(SEARCH("ALL",$E48)),ISNUMBER(SEARCH("AGI",$E48))),1,0)</f>
        <v>1</v>
      </c>
    </row>
    <row r="49" customFormat="false" ht="15" hidden="false" customHeight="false" outlineLevel="0" collapsed="false">
      <c r="A49" s="15" t="s">
        <v>262</v>
      </c>
      <c r="B49" s="10" t="s">
        <v>263</v>
      </c>
      <c r="C49" s="15" t="s">
        <v>251</v>
      </c>
      <c r="D49" s="15" t="s">
        <v>256</v>
      </c>
      <c r="E49" s="15" t="s">
        <v>264</v>
      </c>
      <c r="F49" s="15"/>
      <c r="G49" s="15" t="s">
        <v>143</v>
      </c>
      <c r="H49" s="15" t="s">
        <v>144</v>
      </c>
      <c r="I49" s="15" t="n">
        <v>10</v>
      </c>
      <c r="J49" s="15" t="n">
        <v>25</v>
      </c>
      <c r="K49" s="15" t="n">
        <v>50</v>
      </c>
      <c r="L49" s="15" t="n">
        <v>75</v>
      </c>
      <c r="M49" s="16"/>
      <c r="N49" s="16"/>
      <c r="O49" s="16"/>
      <c r="P49" s="11"/>
      <c r="Q49" s="11"/>
      <c r="R49" s="11"/>
      <c r="S49" s="15" t="str">
        <f aca="false">IF($M49="","",IF(ISNUMBER($M49),"Measured",IF(ISNUMBER(SEARCH("DATA GAP",UPPER($M49))),"Gap",IF(AND($N49&lt;&gt;"",$P49&lt;&gt;"T5"),"Documented","Judged"))))</f>
        <v/>
      </c>
      <c r="T49" s="15" t="str">
        <f aca="false">IF($AC49&lt;&gt;"","",IF(OR($S49="",$S49="Gap"),"",IF($S49="Measured",1+IF($H49="H",IF($M49&gt;=$I49,1,0)+IF($M49&gt;=$J49,1,0)+IF($M49&gt;=$K49,1,0)+IF($M49&gt;=$L49,1,0),IF($M49&lt;=$I49,1,0)+IF($M49&lt;=$J49,1,0)+IF($M49&lt;=$K49,1,0)+IF($M49&lt;=$L49,1,0)),IF($R49&lt;&gt;"",$R49,""))))</f>
        <v/>
      </c>
      <c r="U49" s="15" t="str">
        <f aca="false">IF(OR($S49="",$S49="Gap",$Q49=""),"",IF($Q49&lt;Config!$C$2-Config!$C$3,"STALE",""))</f>
        <v/>
      </c>
      <c r="V49" s="15" t="n">
        <f aca="false">IF(OR(ISNUMBER(SEARCH("ALL",$E49)),ISNUMBER(SEARCH("ADV",$E49))),1,0)</f>
        <v>0</v>
      </c>
      <c r="W49" s="15" t="n">
        <f aca="false">IF(OR(ISNUMBER(SEARCH("ALL",$E49)),ISNUMBER(SEARCH("SMF",$E49))),1,0)</f>
        <v>1</v>
      </c>
      <c r="X49" s="15" t="n">
        <f aca="false">IF(OR(ISNUMBER(SEARCH("ALL",$E49)),ISNUMBER(SEARCH("MKT",$E49))),1,0)</f>
        <v>1</v>
      </c>
      <c r="Y49" s="15" t="n">
        <f aca="false">IF(OR(ISNUMBER(SEARCH("ALL",$E49)),ISNUMBER(SEARCH("SCM",$E49))),1,0)</f>
        <v>1</v>
      </c>
      <c r="Z49" s="15" t="n">
        <f aca="false">IF(OR(ISNUMBER(SEARCH("ALL",$E49)),ISNUMBER(SEARCH("FIN",$E49))),1,0)</f>
        <v>0</v>
      </c>
      <c r="AA49" s="15" t="n">
        <f aca="false">IF(OR(ISNUMBER(SEARCH("ALL",$E49)),ISNUMBER(SEARCH("AGI",$E49))),1,0)</f>
        <v>0</v>
      </c>
    </row>
    <row r="50" customFormat="false" ht="15" hidden="false" customHeight="false" outlineLevel="0" collapsed="false">
      <c r="A50" s="15" t="s">
        <v>265</v>
      </c>
      <c r="B50" s="10" t="s">
        <v>266</v>
      </c>
      <c r="C50" s="15" t="s">
        <v>251</v>
      </c>
      <c r="D50" s="15" t="s">
        <v>256</v>
      </c>
      <c r="E50" s="15" t="s">
        <v>267</v>
      </c>
      <c r="F50" s="15" t="s">
        <v>227</v>
      </c>
      <c r="G50" s="15" t="s">
        <v>149</v>
      </c>
      <c r="H50" s="15"/>
      <c r="M50" s="16"/>
      <c r="N50" s="16"/>
      <c r="O50" s="16"/>
      <c r="P50" s="11"/>
      <c r="Q50" s="11"/>
      <c r="R50" s="11"/>
      <c r="S50" s="15" t="str">
        <f aca="false">IF($M50="","",IF(ISNUMBER($M50),"Measured",IF(ISNUMBER(SEARCH("DATA GAP",UPPER($M50))),"Gap",IF(AND($N50&lt;&gt;"",$P50&lt;&gt;"T5"),"Documented","Judged"))))</f>
        <v/>
      </c>
      <c r="T50" s="15" t="str">
        <f aca="false">IF($AC50&lt;&gt;"","",IF(OR($S50="",$S50="Gap"),"",IF($S50="Measured",1+IF($H50="H",IF($M50&gt;=$I50,1,0)+IF($M50&gt;=$J50,1,0)+IF($M50&gt;=$K50,1,0)+IF($M50&gt;=$L50,1,0),IF($M50&lt;=$I50,1,0)+IF($M50&lt;=$J50,1,0)+IF($M50&lt;=$K50,1,0)+IF($M50&lt;=$L50,1,0)),IF($R50&lt;&gt;"",$R50,""))))</f>
        <v/>
      </c>
      <c r="U50" s="15" t="str">
        <f aca="false">IF(OR($S50="",$S50="Gap",$Q50=""),"",IF($Q50&lt;Config!$C$2-Config!$C$3,"STALE",""))</f>
        <v/>
      </c>
      <c r="V50" s="15" t="n">
        <f aca="false">IF(OR(ISNUMBER(SEARCH("ALL",$E50)),ISNUMBER(SEARCH("ADV",$E50))),1,0)</f>
        <v>0</v>
      </c>
      <c r="W50" s="15" t="n">
        <f aca="false">IF(OR(ISNUMBER(SEARCH("ALL",$E50)),ISNUMBER(SEARCH("SMF",$E50))),1,0)</f>
        <v>0</v>
      </c>
      <c r="X50" s="15" t="n">
        <f aca="false">IF(OR(ISNUMBER(SEARCH("ALL",$E50)),ISNUMBER(SEARCH("MKT",$E50))),1,0)</f>
        <v>0</v>
      </c>
      <c r="Y50" s="15" t="n">
        <f aca="false">IF(OR(ISNUMBER(SEARCH("ALL",$E50)),ISNUMBER(SEARCH("SCM",$E50))),1,0)</f>
        <v>0</v>
      </c>
      <c r="Z50" s="15" t="n">
        <f aca="false">IF(OR(ISNUMBER(SEARCH("ALL",$E50)),ISNUMBER(SEARCH("FIN",$E50))),1,0)</f>
        <v>1</v>
      </c>
      <c r="AA50" s="15" t="n">
        <f aca="false">IF(OR(ISNUMBER(SEARCH("ALL",$E50)),ISNUMBER(SEARCH("AGI",$E50))),1,0)</f>
        <v>0</v>
      </c>
    </row>
    <row r="51" customFormat="false" ht="15" hidden="false" customHeight="false" outlineLevel="0" collapsed="false">
      <c r="A51" s="15" t="s">
        <v>268</v>
      </c>
      <c r="B51" s="10" t="s">
        <v>269</v>
      </c>
      <c r="C51" s="15" t="s">
        <v>251</v>
      </c>
      <c r="D51" s="15" t="s">
        <v>256</v>
      </c>
      <c r="E51" s="15" t="s">
        <v>240</v>
      </c>
      <c r="F51" s="15"/>
      <c r="G51" s="15" t="s">
        <v>149</v>
      </c>
      <c r="H51" s="15"/>
      <c r="M51" s="16"/>
      <c r="N51" s="16"/>
      <c r="O51" s="16"/>
      <c r="P51" s="11"/>
      <c r="Q51" s="11"/>
      <c r="R51" s="11"/>
      <c r="S51" s="15" t="str">
        <f aca="false">IF($M51="","",IF(ISNUMBER($M51),"Measured",IF(ISNUMBER(SEARCH("DATA GAP",UPPER($M51))),"Gap",IF(AND($N51&lt;&gt;"",$P51&lt;&gt;"T5"),"Documented","Judged"))))</f>
        <v/>
      </c>
      <c r="T51" s="15" t="str">
        <f aca="false">IF($AC51&lt;&gt;"","",IF(OR($S51="",$S51="Gap"),"",IF($S51="Measured",1+IF($H51="H",IF($M51&gt;=$I51,1,0)+IF($M51&gt;=$J51,1,0)+IF($M51&gt;=$K51,1,0)+IF($M51&gt;=$L51,1,0),IF($M51&lt;=$I51,1,0)+IF($M51&lt;=$J51,1,0)+IF($M51&lt;=$K51,1,0)+IF($M51&lt;=$L51,1,0)),IF($R51&lt;&gt;"",$R51,""))))</f>
        <v/>
      </c>
      <c r="U51" s="15" t="str">
        <f aca="false">IF(OR($S51="",$S51="Gap",$Q51=""),"",IF($Q51&lt;Config!$C$2-Config!$C$3,"STALE",""))</f>
        <v/>
      </c>
      <c r="V51" s="15" t="n">
        <f aca="false">IF(OR(ISNUMBER(SEARCH("ALL",$E51)),ISNUMBER(SEARCH("ADV",$E51))),1,0)</f>
        <v>1</v>
      </c>
      <c r="W51" s="15" t="n">
        <f aca="false">IF(OR(ISNUMBER(SEARCH("ALL",$E51)),ISNUMBER(SEARCH("SMF",$E51))),1,0)</f>
        <v>0</v>
      </c>
      <c r="X51" s="15" t="n">
        <f aca="false">IF(OR(ISNUMBER(SEARCH("ALL",$E51)),ISNUMBER(SEARCH("MKT",$E51))),1,0)</f>
        <v>0</v>
      </c>
      <c r="Y51" s="15" t="n">
        <f aca="false">IF(OR(ISNUMBER(SEARCH("ALL",$E51)),ISNUMBER(SEARCH("SCM",$E51))),1,0)</f>
        <v>0</v>
      </c>
      <c r="Z51" s="15" t="n">
        <f aca="false">IF(OR(ISNUMBER(SEARCH("ALL",$E51)),ISNUMBER(SEARCH("FIN",$E51))),1,0)</f>
        <v>0</v>
      </c>
      <c r="AA51" s="15" t="n">
        <f aca="false">IF(OR(ISNUMBER(SEARCH("ALL",$E51)),ISNUMBER(SEARCH("AGI",$E51))),1,0)</f>
        <v>0</v>
      </c>
    </row>
    <row r="52" customFormat="false" ht="15" hidden="false" customHeight="false" outlineLevel="0" collapsed="false">
      <c r="A52" s="15" t="s">
        <v>270</v>
      </c>
      <c r="B52" s="10" t="s">
        <v>271</v>
      </c>
      <c r="C52" s="15" t="s">
        <v>251</v>
      </c>
      <c r="D52" s="15" t="s">
        <v>256</v>
      </c>
      <c r="E52" s="15" t="s">
        <v>272</v>
      </c>
      <c r="F52" s="15"/>
      <c r="G52" s="15" t="s">
        <v>149</v>
      </c>
      <c r="H52" s="15"/>
      <c r="M52" s="16"/>
      <c r="N52" s="16"/>
      <c r="O52" s="16"/>
      <c r="P52" s="11"/>
      <c r="Q52" s="11"/>
      <c r="R52" s="11"/>
      <c r="S52" s="15" t="str">
        <f aca="false">IF($M52="","",IF(ISNUMBER($M52),"Measured",IF(ISNUMBER(SEARCH("DATA GAP",UPPER($M52))),"Gap",IF(AND($N52&lt;&gt;"",$P52&lt;&gt;"T5"),"Documented","Judged"))))</f>
        <v/>
      </c>
      <c r="T52" s="15" t="str">
        <f aca="false">IF($AC52&lt;&gt;"","",IF(OR($S52="",$S52="Gap"),"",IF($S52="Measured",1+IF($H52="H",IF($M52&gt;=$I52,1,0)+IF($M52&gt;=$J52,1,0)+IF($M52&gt;=$K52,1,0)+IF($M52&gt;=$L52,1,0),IF($M52&lt;=$I52,1,0)+IF($M52&lt;=$J52,1,0)+IF($M52&lt;=$K52,1,0)+IF($M52&lt;=$L52,1,0)),IF($R52&lt;&gt;"",$R52,""))))</f>
        <v/>
      </c>
      <c r="U52" s="15" t="str">
        <f aca="false">IF(OR($S52="",$S52="Gap",$Q52=""),"",IF($Q52&lt;Config!$C$2-Config!$C$3,"STALE",""))</f>
        <v/>
      </c>
      <c r="V52" s="15" t="n">
        <f aca="false">IF(OR(ISNUMBER(SEARCH("ALL",$E52)),ISNUMBER(SEARCH("ADV",$E52))),1,0)</f>
        <v>0</v>
      </c>
      <c r="W52" s="15" t="n">
        <f aca="false">IF(OR(ISNUMBER(SEARCH("ALL",$E52)),ISNUMBER(SEARCH("SMF",$E52))),1,0)</f>
        <v>0</v>
      </c>
      <c r="X52" s="15" t="n">
        <f aca="false">IF(OR(ISNUMBER(SEARCH("ALL",$E52)),ISNUMBER(SEARCH("MKT",$E52))),1,0)</f>
        <v>1</v>
      </c>
      <c r="Y52" s="15" t="n">
        <f aca="false">IF(OR(ISNUMBER(SEARCH("ALL",$E52)),ISNUMBER(SEARCH("SCM",$E52))),1,0)</f>
        <v>0</v>
      </c>
      <c r="Z52" s="15" t="n">
        <f aca="false">IF(OR(ISNUMBER(SEARCH("ALL",$E52)),ISNUMBER(SEARCH("FIN",$E52))),1,0)</f>
        <v>0</v>
      </c>
      <c r="AA52" s="15" t="n">
        <f aca="false">IF(OR(ISNUMBER(SEARCH("ALL",$E52)),ISNUMBER(SEARCH("AGI",$E52))),1,0)</f>
        <v>0</v>
      </c>
    </row>
    <row r="53" customFormat="false" ht="15" hidden="false" customHeight="false" outlineLevel="0" collapsed="false">
      <c r="A53" s="15" t="s">
        <v>273</v>
      </c>
      <c r="B53" s="10" t="s">
        <v>274</v>
      </c>
      <c r="C53" s="15" t="s">
        <v>251</v>
      </c>
      <c r="D53" s="15" t="s">
        <v>256</v>
      </c>
      <c r="E53" s="15" t="s">
        <v>275</v>
      </c>
      <c r="F53" s="15"/>
      <c r="G53" s="15" t="s">
        <v>149</v>
      </c>
      <c r="H53" s="15"/>
      <c r="M53" s="16"/>
      <c r="N53" s="16"/>
      <c r="O53" s="16"/>
      <c r="P53" s="11"/>
      <c r="Q53" s="11"/>
      <c r="R53" s="11"/>
      <c r="S53" s="15" t="str">
        <f aca="false">IF($M53="","",IF(ISNUMBER($M53),"Measured",IF(ISNUMBER(SEARCH("DATA GAP",UPPER($M53))),"Gap",IF(AND($N53&lt;&gt;"",$P53&lt;&gt;"T5"),"Documented","Judged"))))</f>
        <v/>
      </c>
      <c r="T53" s="15" t="str">
        <f aca="false">IF($AC53&lt;&gt;"","",IF(OR($S53="",$S53="Gap"),"",IF($S53="Measured",1+IF($H53="H",IF($M53&gt;=$I53,1,0)+IF($M53&gt;=$J53,1,0)+IF($M53&gt;=$K53,1,0)+IF($M53&gt;=$L53,1,0),IF($M53&lt;=$I53,1,0)+IF($M53&lt;=$J53,1,0)+IF($M53&lt;=$K53,1,0)+IF($M53&lt;=$L53,1,0)),IF($R53&lt;&gt;"",$R53,""))))</f>
        <v/>
      </c>
      <c r="U53" s="15" t="str">
        <f aca="false">IF(OR($S53="",$S53="Gap",$Q53=""),"",IF($Q53&lt;Config!$C$2-Config!$C$3,"STALE",""))</f>
        <v/>
      </c>
      <c r="V53" s="15" t="n">
        <f aca="false">IF(OR(ISNUMBER(SEARCH("ALL",$E53)),ISNUMBER(SEARCH("ADV",$E53))),1,0)</f>
        <v>1</v>
      </c>
      <c r="W53" s="15" t="n">
        <f aca="false">IF(OR(ISNUMBER(SEARCH("ALL",$E53)),ISNUMBER(SEARCH("SMF",$E53))),1,0)</f>
        <v>1</v>
      </c>
      <c r="X53" s="15" t="n">
        <f aca="false">IF(OR(ISNUMBER(SEARCH("ALL",$E53)),ISNUMBER(SEARCH("MKT",$E53))),1,0)</f>
        <v>0</v>
      </c>
      <c r="Y53" s="15" t="n">
        <f aca="false">IF(OR(ISNUMBER(SEARCH("ALL",$E53)),ISNUMBER(SEARCH("SCM",$E53))),1,0)</f>
        <v>1</v>
      </c>
      <c r="Z53" s="15" t="n">
        <f aca="false">IF(OR(ISNUMBER(SEARCH("ALL",$E53)),ISNUMBER(SEARCH("FIN",$E53))),1,0)</f>
        <v>1</v>
      </c>
      <c r="AA53" s="15" t="n">
        <f aca="false">IF(OR(ISNUMBER(SEARCH("ALL",$E53)),ISNUMBER(SEARCH("AGI",$E53))),1,0)</f>
        <v>1</v>
      </c>
    </row>
    <row r="54" customFormat="false" ht="15" hidden="false" customHeight="false" outlineLevel="0" collapsed="false">
      <c r="A54" s="15" t="s">
        <v>276</v>
      </c>
      <c r="B54" s="10" t="s">
        <v>277</v>
      </c>
      <c r="C54" s="15" t="s">
        <v>251</v>
      </c>
      <c r="D54" s="15" t="s">
        <v>186</v>
      </c>
      <c r="E54" s="15" t="s">
        <v>278</v>
      </c>
      <c r="F54" s="15" t="s">
        <v>279</v>
      </c>
      <c r="G54" s="15" t="s">
        <v>149</v>
      </c>
      <c r="H54" s="15"/>
      <c r="M54" s="16"/>
      <c r="N54" s="16"/>
      <c r="O54" s="16"/>
      <c r="P54" s="11"/>
      <c r="Q54" s="11"/>
      <c r="R54" s="11"/>
      <c r="S54" s="15" t="str">
        <f aca="false">IF($M54="","",IF(ISNUMBER($M54),"Measured",IF(ISNUMBER(SEARCH("DATA GAP",UPPER($M54))),"Gap",IF(AND($N54&lt;&gt;"",$P54&lt;&gt;"T5"),"Documented","Judged"))))</f>
        <v/>
      </c>
      <c r="T54" s="15" t="str">
        <f aca="false">IF($AC54&lt;&gt;"","",IF(OR($S54="",$S54="Gap"),"",IF($S54="Measured",1+IF($H54="H",IF($M54&gt;=$I54,1,0)+IF($M54&gt;=$J54,1,0)+IF($M54&gt;=$K54,1,0)+IF($M54&gt;=$L54,1,0),IF($M54&lt;=$I54,1,0)+IF($M54&lt;=$J54,1,0)+IF($M54&lt;=$K54,1,0)+IF($M54&lt;=$L54,1,0)),IF($R54&lt;&gt;"",$R54,""))))</f>
        <v/>
      </c>
      <c r="U54" s="15" t="str">
        <f aca="false">IF(OR($S54="",$S54="Gap",$Q54=""),"",IF($Q54&lt;Config!$C$2-Config!$C$3,"STALE",""))</f>
        <v/>
      </c>
      <c r="V54" s="15" t="n">
        <f aca="false">IF(OR(ISNUMBER(SEARCH("ALL",$E54)),ISNUMBER(SEARCH("ADV",$E54))),1,0)</f>
        <v>0</v>
      </c>
      <c r="W54" s="15" t="n">
        <f aca="false">IF(OR(ISNUMBER(SEARCH("ALL",$E54)),ISNUMBER(SEARCH("SMF",$E54))),1,0)</f>
        <v>0</v>
      </c>
      <c r="X54" s="15" t="n">
        <f aca="false">IF(OR(ISNUMBER(SEARCH("ALL",$E54)),ISNUMBER(SEARCH("MKT",$E54))),1,0)</f>
        <v>0</v>
      </c>
      <c r="Y54" s="15" t="n">
        <f aca="false">IF(OR(ISNUMBER(SEARCH("ALL",$E54)),ISNUMBER(SEARCH("SCM",$E54))),1,0)</f>
        <v>0</v>
      </c>
      <c r="Z54" s="15" t="n">
        <f aca="false">IF(OR(ISNUMBER(SEARCH("ALL",$E54)),ISNUMBER(SEARCH("FIN",$E54))),1,0)</f>
        <v>0</v>
      </c>
      <c r="AA54" s="15" t="n">
        <f aca="false">IF(OR(ISNUMBER(SEARCH("ALL",$E54)),ISNUMBER(SEARCH("AGI",$E54))),1,0)</f>
        <v>0</v>
      </c>
    </row>
    <row r="55" customFormat="false" ht="15" hidden="false" customHeight="false" outlineLevel="0" collapsed="false">
      <c r="A55" s="15" t="s">
        <v>280</v>
      </c>
      <c r="B55" s="10" t="s">
        <v>281</v>
      </c>
      <c r="C55" s="15" t="s">
        <v>282</v>
      </c>
      <c r="D55" s="15" t="s">
        <v>283</v>
      </c>
      <c r="E55" s="15" t="s">
        <v>284</v>
      </c>
      <c r="F55" s="15"/>
      <c r="G55" s="15" t="s">
        <v>143</v>
      </c>
      <c r="H55" s="15" t="s">
        <v>144</v>
      </c>
      <c r="I55" s="15" t="n">
        <v>20</v>
      </c>
      <c r="J55" s="15" t="n">
        <v>40</v>
      </c>
      <c r="K55" s="15" t="n">
        <v>60</v>
      </c>
      <c r="L55" s="15" t="n">
        <v>80</v>
      </c>
      <c r="M55" s="16"/>
      <c r="N55" s="16"/>
      <c r="O55" s="16"/>
      <c r="P55" s="11"/>
      <c r="Q55" s="11"/>
      <c r="R55" s="11"/>
      <c r="S55" s="15" t="str">
        <f aca="false">IF($M55="","",IF(ISNUMBER($M55),"Measured",IF(ISNUMBER(SEARCH("DATA GAP",UPPER($M55))),"Gap",IF(AND($N55&lt;&gt;"",$P55&lt;&gt;"T5"),"Documented","Judged"))))</f>
        <v/>
      </c>
      <c r="T55" s="15" t="str">
        <f aca="false">IF($AC55&lt;&gt;"","",IF(OR($S55="",$S55="Gap"),"",IF($S55="Measured",1+IF($H55="H",IF($M55&gt;=$I55,1,0)+IF($M55&gt;=$J55,1,0)+IF($M55&gt;=$K55,1,0)+IF($M55&gt;=$L55,1,0),IF($M55&lt;=$I55,1,0)+IF($M55&lt;=$J55,1,0)+IF($M55&lt;=$K55,1,0)+IF($M55&lt;=$L55,1,0)),IF($R55&lt;&gt;"",$R55,""))))</f>
        <v/>
      </c>
      <c r="U55" s="15" t="str">
        <f aca="false">IF(OR($S55="",$S55="Gap",$Q55=""),"",IF($Q55&lt;Config!$C$2-Config!$C$3,"STALE",""))</f>
        <v/>
      </c>
      <c r="V55" s="15" t="n">
        <f aca="false">IF(OR(ISNUMBER(SEARCH("ALL",$E55)),ISNUMBER(SEARCH("ADV",$E55))),1,0)</f>
        <v>0</v>
      </c>
      <c r="W55" s="15" t="n">
        <f aca="false">IF(OR(ISNUMBER(SEARCH("ALL",$E55)),ISNUMBER(SEARCH("SMF",$E55))),1,0)</f>
        <v>0</v>
      </c>
      <c r="X55" s="15" t="n">
        <f aca="false">IF(OR(ISNUMBER(SEARCH("ALL",$E55)),ISNUMBER(SEARCH("MKT",$E55))),1,0)</f>
        <v>0</v>
      </c>
      <c r="Y55" s="15" t="n">
        <f aca="false">IF(OR(ISNUMBER(SEARCH("ALL",$E55)),ISNUMBER(SEARCH("SCM",$E55))),1,0)</f>
        <v>0</v>
      </c>
      <c r="Z55" s="15" t="n">
        <f aca="false">IF(OR(ISNUMBER(SEARCH("ALL",$E55)),ISNUMBER(SEARCH("FIN",$E55))),1,0)</f>
        <v>1</v>
      </c>
      <c r="AA55" s="15" t="n">
        <f aca="false">IF(OR(ISNUMBER(SEARCH("ALL",$E55)),ISNUMBER(SEARCH("AGI",$E55))),1,0)</f>
        <v>0</v>
      </c>
    </row>
    <row r="56" customFormat="false" ht="15" hidden="false" customHeight="false" outlineLevel="0" collapsed="false">
      <c r="A56" s="15" t="s">
        <v>285</v>
      </c>
      <c r="B56" s="10" t="s">
        <v>286</v>
      </c>
      <c r="C56" s="15" t="s">
        <v>282</v>
      </c>
      <c r="D56" s="15" t="s">
        <v>283</v>
      </c>
      <c r="E56" s="15" t="s">
        <v>267</v>
      </c>
      <c r="F56" s="15"/>
      <c r="G56" s="15" t="s">
        <v>143</v>
      </c>
      <c r="H56" s="15" t="s">
        <v>144</v>
      </c>
      <c r="I56" s="15" t="n">
        <v>10</v>
      </c>
      <c r="J56" s="15" t="n">
        <v>25</v>
      </c>
      <c r="K56" s="15" t="n">
        <v>50</v>
      </c>
      <c r="L56" s="15" t="n">
        <v>75</v>
      </c>
      <c r="M56" s="16"/>
      <c r="N56" s="16"/>
      <c r="O56" s="16"/>
      <c r="P56" s="11"/>
      <c r="Q56" s="11"/>
      <c r="R56" s="11"/>
      <c r="S56" s="15" t="str">
        <f aca="false">IF($M56="","",IF(ISNUMBER($M56),"Measured",IF(ISNUMBER(SEARCH("DATA GAP",UPPER($M56))),"Gap",IF(AND($N56&lt;&gt;"",$P56&lt;&gt;"T5"),"Documented","Judged"))))</f>
        <v/>
      </c>
      <c r="T56" s="15" t="str">
        <f aca="false">IF($AC56&lt;&gt;"","",IF(OR($S56="",$S56="Gap"),"",IF($S56="Measured",1+IF($H56="H",IF($M56&gt;=$I56,1,0)+IF($M56&gt;=$J56,1,0)+IF($M56&gt;=$K56,1,0)+IF($M56&gt;=$L56,1,0),IF($M56&lt;=$I56,1,0)+IF($M56&lt;=$J56,1,0)+IF($M56&lt;=$K56,1,0)+IF($M56&lt;=$L56,1,0)),IF($R56&lt;&gt;"",$R56,""))))</f>
        <v/>
      </c>
      <c r="U56" s="15" t="str">
        <f aca="false">IF(OR($S56="",$S56="Gap",$Q56=""),"",IF($Q56&lt;Config!$C$2-Config!$C$3,"STALE",""))</f>
        <v/>
      </c>
      <c r="V56" s="15" t="n">
        <f aca="false">IF(OR(ISNUMBER(SEARCH("ALL",$E56)),ISNUMBER(SEARCH("ADV",$E56))),1,0)</f>
        <v>0</v>
      </c>
      <c r="W56" s="15" t="n">
        <f aca="false">IF(OR(ISNUMBER(SEARCH("ALL",$E56)),ISNUMBER(SEARCH("SMF",$E56))),1,0)</f>
        <v>0</v>
      </c>
      <c r="X56" s="15" t="n">
        <f aca="false">IF(OR(ISNUMBER(SEARCH("ALL",$E56)),ISNUMBER(SEARCH("MKT",$E56))),1,0)</f>
        <v>0</v>
      </c>
      <c r="Y56" s="15" t="n">
        <f aca="false">IF(OR(ISNUMBER(SEARCH("ALL",$E56)),ISNUMBER(SEARCH("SCM",$E56))),1,0)</f>
        <v>0</v>
      </c>
      <c r="Z56" s="15" t="n">
        <f aca="false">IF(OR(ISNUMBER(SEARCH("ALL",$E56)),ISNUMBER(SEARCH("FIN",$E56))),1,0)</f>
        <v>1</v>
      </c>
      <c r="AA56" s="15" t="n">
        <f aca="false">IF(OR(ISNUMBER(SEARCH("ALL",$E56)),ISNUMBER(SEARCH("AGI",$E56))),1,0)</f>
        <v>0</v>
      </c>
    </row>
    <row r="57" customFormat="false" ht="15" hidden="false" customHeight="false" outlineLevel="0" collapsed="false">
      <c r="A57" s="15" t="s">
        <v>287</v>
      </c>
      <c r="B57" s="10" t="s">
        <v>288</v>
      </c>
      <c r="C57" s="15" t="s">
        <v>282</v>
      </c>
      <c r="D57" s="15" t="s">
        <v>283</v>
      </c>
      <c r="E57" s="15" t="s">
        <v>289</v>
      </c>
      <c r="F57" s="15"/>
      <c r="G57" s="15" t="s">
        <v>143</v>
      </c>
      <c r="H57" s="15" t="s">
        <v>149</v>
      </c>
      <c r="I57" s="15" t="n">
        <v>20</v>
      </c>
      <c r="J57" s="15" t="n">
        <v>10</v>
      </c>
      <c r="K57" s="15" t="n">
        <v>5</v>
      </c>
      <c r="L57" s="15" t="n">
        <v>2</v>
      </c>
      <c r="M57" s="16"/>
      <c r="N57" s="16"/>
      <c r="O57" s="16"/>
      <c r="P57" s="11"/>
      <c r="Q57" s="11"/>
      <c r="R57" s="11"/>
      <c r="S57" s="15" t="str">
        <f aca="false">IF($M57="","",IF(ISNUMBER($M57),"Measured",IF(ISNUMBER(SEARCH("DATA GAP",UPPER($M57))),"Gap",IF(AND($N57&lt;&gt;"",$P57&lt;&gt;"T5"),"Documented","Judged"))))</f>
        <v/>
      </c>
      <c r="T57" s="15" t="str">
        <f aca="false">IF($AC57&lt;&gt;"","",IF(OR($S57="",$S57="Gap"),"",IF($S57="Measured",1+IF($H57="H",IF($M57&gt;=$I57,1,0)+IF($M57&gt;=$J57,1,0)+IF($M57&gt;=$K57,1,0)+IF($M57&gt;=$L57,1,0),IF($M57&lt;=$I57,1,0)+IF($M57&lt;=$J57,1,0)+IF($M57&lt;=$K57,1,0)+IF($M57&lt;=$L57,1,0)),IF($R57&lt;&gt;"",$R57,""))))</f>
        <v/>
      </c>
      <c r="U57" s="15" t="str">
        <f aca="false">IF(OR($S57="",$S57="Gap",$Q57=""),"",IF($Q57&lt;Config!$C$2-Config!$C$3,"STALE",""))</f>
        <v/>
      </c>
      <c r="V57" s="15" t="n">
        <f aca="false">IF(OR(ISNUMBER(SEARCH("ALL",$E57)),ISNUMBER(SEARCH("ADV",$E57))),1,0)</f>
        <v>0</v>
      </c>
      <c r="W57" s="15" t="n">
        <f aca="false">IF(OR(ISNUMBER(SEARCH("ALL",$E57)),ISNUMBER(SEARCH("SMF",$E57))),1,0)</f>
        <v>0</v>
      </c>
      <c r="X57" s="15" t="n">
        <f aca="false">IF(OR(ISNUMBER(SEARCH("ALL",$E57)),ISNUMBER(SEARCH("MKT",$E57))),1,0)</f>
        <v>0</v>
      </c>
      <c r="Y57" s="15" t="n">
        <f aca="false">IF(OR(ISNUMBER(SEARCH("ALL",$E57)),ISNUMBER(SEARCH("SCM",$E57))),1,0)</f>
        <v>0</v>
      </c>
      <c r="Z57" s="15" t="n">
        <f aca="false">IF(OR(ISNUMBER(SEARCH("ALL",$E57)),ISNUMBER(SEARCH("FIN",$E57))),1,0)</f>
        <v>0</v>
      </c>
      <c r="AA57" s="15" t="n">
        <f aca="false">IF(OR(ISNUMBER(SEARCH("ALL",$E57)),ISNUMBER(SEARCH("AGI",$E57))),1,0)</f>
        <v>0</v>
      </c>
    </row>
    <row r="58" customFormat="false" ht="15" hidden="false" customHeight="false" outlineLevel="0" collapsed="false">
      <c r="A58" s="15" t="s">
        <v>290</v>
      </c>
      <c r="B58" s="10" t="s">
        <v>291</v>
      </c>
      <c r="C58" s="15" t="s">
        <v>282</v>
      </c>
      <c r="D58" s="15" t="s">
        <v>283</v>
      </c>
      <c r="E58" s="15" t="s">
        <v>292</v>
      </c>
      <c r="F58" s="15"/>
      <c r="G58" s="15" t="s">
        <v>143</v>
      </c>
      <c r="H58" s="15" t="s">
        <v>144</v>
      </c>
      <c r="I58" s="15" t="n">
        <v>10</v>
      </c>
      <c r="J58" s="15" t="n">
        <v>25</v>
      </c>
      <c r="K58" s="15" t="n">
        <v>50</v>
      </c>
      <c r="L58" s="15" t="n">
        <v>75</v>
      </c>
      <c r="M58" s="16"/>
      <c r="N58" s="16"/>
      <c r="O58" s="16"/>
      <c r="P58" s="11"/>
      <c r="Q58" s="11"/>
      <c r="R58" s="11"/>
      <c r="S58" s="15" t="str">
        <f aca="false">IF($M58="","",IF(ISNUMBER($M58),"Measured",IF(ISNUMBER(SEARCH("DATA GAP",UPPER($M58))),"Gap",IF(AND($N58&lt;&gt;"",$P58&lt;&gt;"T5"),"Documented","Judged"))))</f>
        <v/>
      </c>
      <c r="T58" s="15" t="str">
        <f aca="false">IF($AC58&lt;&gt;"","",IF(OR($S58="",$S58="Gap"),"",IF($S58="Measured",1+IF($H58="H",IF($M58&gt;=$I58,1,0)+IF($M58&gt;=$J58,1,0)+IF($M58&gt;=$K58,1,0)+IF($M58&gt;=$L58,1,0),IF($M58&lt;=$I58,1,0)+IF($M58&lt;=$J58,1,0)+IF($M58&lt;=$K58,1,0)+IF($M58&lt;=$L58,1,0)),IF($R58&lt;&gt;"",$R58,""))))</f>
        <v/>
      </c>
      <c r="U58" s="15" t="str">
        <f aca="false">IF(OR($S58="",$S58="Gap",$Q58=""),"",IF($Q58&lt;Config!$C$2-Config!$C$3,"STALE",""))</f>
        <v/>
      </c>
      <c r="V58" s="15" t="n">
        <f aca="false">IF(OR(ISNUMBER(SEARCH("ALL",$E58)),ISNUMBER(SEARCH("ADV",$E58))),1,0)</f>
        <v>1</v>
      </c>
      <c r="W58" s="15" t="n">
        <f aca="false">IF(OR(ISNUMBER(SEARCH("ALL",$E58)),ISNUMBER(SEARCH("SMF",$E58))),1,0)</f>
        <v>1</v>
      </c>
      <c r="X58" s="15" t="n">
        <f aca="false">IF(OR(ISNUMBER(SEARCH("ALL",$E58)),ISNUMBER(SEARCH("MKT",$E58))),1,0)</f>
        <v>1</v>
      </c>
      <c r="Y58" s="15" t="n">
        <f aca="false">IF(OR(ISNUMBER(SEARCH("ALL",$E58)),ISNUMBER(SEARCH("SCM",$E58))),1,0)</f>
        <v>1</v>
      </c>
      <c r="Z58" s="15" t="n">
        <f aca="false">IF(OR(ISNUMBER(SEARCH("ALL",$E58)),ISNUMBER(SEARCH("FIN",$E58))),1,0)</f>
        <v>1</v>
      </c>
      <c r="AA58" s="15" t="n">
        <f aca="false">IF(OR(ISNUMBER(SEARCH("ALL",$E58)),ISNUMBER(SEARCH("AGI",$E58))),1,0)</f>
        <v>1</v>
      </c>
    </row>
    <row r="59" customFormat="false" ht="15" hidden="false" customHeight="false" outlineLevel="0" collapsed="false">
      <c r="A59" s="15" t="s">
        <v>293</v>
      </c>
      <c r="B59" s="10" t="s">
        <v>294</v>
      </c>
      <c r="C59" s="15" t="s">
        <v>282</v>
      </c>
      <c r="D59" s="15" t="s">
        <v>283</v>
      </c>
      <c r="E59" s="15" t="s">
        <v>295</v>
      </c>
      <c r="F59" s="15"/>
      <c r="G59" s="15" t="s">
        <v>143</v>
      </c>
      <c r="H59" s="15" t="s">
        <v>144</v>
      </c>
      <c r="I59" s="15" t="n">
        <v>25</v>
      </c>
      <c r="J59" s="15" t="n">
        <v>50</v>
      </c>
      <c r="K59" s="15" t="n">
        <v>75</v>
      </c>
      <c r="L59" s="15" t="n">
        <v>90</v>
      </c>
      <c r="M59" s="16"/>
      <c r="N59" s="16"/>
      <c r="O59" s="16"/>
      <c r="P59" s="11"/>
      <c r="Q59" s="11"/>
      <c r="R59" s="11"/>
      <c r="S59" s="15" t="str">
        <f aca="false">IF($M59="","",IF(ISNUMBER($M59),"Measured",IF(ISNUMBER(SEARCH("DATA GAP",UPPER($M59))),"Gap",IF(AND($N59&lt;&gt;"",$P59&lt;&gt;"T5"),"Documented","Judged"))))</f>
        <v/>
      </c>
      <c r="T59" s="15" t="str">
        <f aca="false">IF($AC59&lt;&gt;"","",IF(OR($S59="",$S59="Gap"),"",IF($S59="Measured",1+IF($H59="H",IF($M59&gt;=$I59,1,0)+IF($M59&gt;=$J59,1,0)+IF($M59&gt;=$K59,1,0)+IF($M59&gt;=$L59,1,0),IF($M59&lt;=$I59,1,0)+IF($M59&lt;=$J59,1,0)+IF($M59&lt;=$K59,1,0)+IF($M59&lt;=$L59,1,0)),IF($R59&lt;&gt;"",$R59,""))))</f>
        <v/>
      </c>
      <c r="U59" s="15" t="str">
        <f aca="false">IF(OR($S59="",$S59="Gap",$Q59=""),"",IF($Q59&lt;Config!$C$2-Config!$C$3,"STALE",""))</f>
        <v/>
      </c>
      <c r="V59" s="15" t="n">
        <f aca="false">IF(OR(ISNUMBER(SEARCH("ALL",$E59)),ISNUMBER(SEARCH("ADV",$E59))),1,0)</f>
        <v>1</v>
      </c>
      <c r="W59" s="15" t="n">
        <f aca="false">IF(OR(ISNUMBER(SEARCH("ALL",$E59)),ISNUMBER(SEARCH("SMF",$E59))),1,0)</f>
        <v>0</v>
      </c>
      <c r="X59" s="15" t="n">
        <f aca="false">IF(OR(ISNUMBER(SEARCH("ALL",$E59)),ISNUMBER(SEARCH("MKT",$E59))),1,0)</f>
        <v>0</v>
      </c>
      <c r="Y59" s="15" t="n">
        <f aca="false">IF(OR(ISNUMBER(SEARCH("ALL",$E59)),ISNUMBER(SEARCH("SCM",$E59))),1,0)</f>
        <v>0</v>
      </c>
      <c r="Z59" s="15" t="n">
        <f aca="false">IF(OR(ISNUMBER(SEARCH("ALL",$E59)),ISNUMBER(SEARCH("FIN",$E59))),1,0)</f>
        <v>0</v>
      </c>
      <c r="AA59" s="15" t="n">
        <f aca="false">IF(OR(ISNUMBER(SEARCH("ALL",$E59)),ISNUMBER(SEARCH("AGI",$E59))),1,0)</f>
        <v>0</v>
      </c>
    </row>
    <row r="60" customFormat="false" ht="15" hidden="false" customHeight="false" outlineLevel="0" collapsed="false">
      <c r="A60" s="15" t="s">
        <v>296</v>
      </c>
      <c r="B60" s="10" t="s">
        <v>297</v>
      </c>
      <c r="C60" s="15" t="s">
        <v>282</v>
      </c>
      <c r="D60" s="15" t="s">
        <v>283</v>
      </c>
      <c r="E60" s="15" t="s">
        <v>171</v>
      </c>
      <c r="F60" s="15"/>
      <c r="G60" s="15" t="s">
        <v>149</v>
      </c>
      <c r="H60" s="15"/>
      <c r="M60" s="16"/>
      <c r="N60" s="16"/>
      <c r="O60" s="16"/>
      <c r="P60" s="11"/>
      <c r="Q60" s="11"/>
      <c r="R60" s="11"/>
      <c r="S60" s="15" t="str">
        <f aca="false">IF($M60="","",IF(ISNUMBER($M60),"Measured",IF(ISNUMBER(SEARCH("DATA GAP",UPPER($M60))),"Gap",IF(AND($N60&lt;&gt;"",$P60&lt;&gt;"T5"),"Documented","Judged"))))</f>
        <v/>
      </c>
      <c r="T60" s="15" t="str">
        <f aca="false">IF($AC60&lt;&gt;"","",IF(OR($S60="",$S60="Gap"),"",IF($S60="Measured",1+IF($H60="H",IF($M60&gt;=$I60,1,0)+IF($M60&gt;=$J60,1,0)+IF($M60&gt;=$K60,1,0)+IF($M60&gt;=$L60,1,0),IF($M60&lt;=$I60,1,0)+IF($M60&lt;=$J60,1,0)+IF($M60&lt;=$K60,1,0)+IF($M60&lt;=$L60,1,0)),IF($R60&lt;&gt;"",$R60,""))))</f>
        <v/>
      </c>
      <c r="U60" s="15" t="str">
        <f aca="false">IF(OR($S60="",$S60="Gap",$Q60=""),"",IF($Q60&lt;Config!$C$2-Config!$C$3,"STALE",""))</f>
        <v/>
      </c>
      <c r="V60" s="15" t="n">
        <f aca="false">IF(OR(ISNUMBER(SEARCH("ALL",$E60)),ISNUMBER(SEARCH("ADV",$E60))),1,0)</f>
        <v>1</v>
      </c>
      <c r="W60" s="15" t="n">
        <f aca="false">IF(OR(ISNUMBER(SEARCH("ALL",$E60)),ISNUMBER(SEARCH("SMF",$E60))),1,0)</f>
        <v>1</v>
      </c>
      <c r="X60" s="15" t="n">
        <f aca="false">IF(OR(ISNUMBER(SEARCH("ALL",$E60)),ISNUMBER(SEARCH("MKT",$E60))),1,0)</f>
        <v>1</v>
      </c>
      <c r="Y60" s="15" t="n">
        <f aca="false">IF(OR(ISNUMBER(SEARCH("ALL",$E60)),ISNUMBER(SEARCH("SCM",$E60))),1,0)</f>
        <v>1</v>
      </c>
      <c r="Z60" s="15" t="n">
        <f aca="false">IF(OR(ISNUMBER(SEARCH("ALL",$E60)),ISNUMBER(SEARCH("FIN",$E60))),1,0)</f>
        <v>1</v>
      </c>
      <c r="AA60" s="15" t="n">
        <f aca="false">IF(OR(ISNUMBER(SEARCH("ALL",$E60)),ISNUMBER(SEARCH("AGI",$E60))),1,0)</f>
        <v>1</v>
      </c>
    </row>
    <row r="61" customFormat="false" ht="15" hidden="false" customHeight="false" outlineLevel="0" collapsed="false">
      <c r="A61" s="15" t="s">
        <v>298</v>
      </c>
      <c r="B61" s="10" t="s">
        <v>299</v>
      </c>
      <c r="C61" s="15" t="s">
        <v>282</v>
      </c>
      <c r="D61" s="15" t="s">
        <v>283</v>
      </c>
      <c r="E61" s="15" t="s">
        <v>240</v>
      </c>
      <c r="F61" s="15"/>
      <c r="G61" s="15" t="s">
        <v>143</v>
      </c>
      <c r="H61" s="15" t="s">
        <v>144</v>
      </c>
      <c r="I61" s="15" t="n">
        <v>20</v>
      </c>
      <c r="J61" s="15" t="n">
        <v>40</v>
      </c>
      <c r="K61" s="15" t="n">
        <v>60</v>
      </c>
      <c r="L61" s="15" t="n">
        <v>80</v>
      </c>
      <c r="M61" s="16"/>
      <c r="N61" s="16"/>
      <c r="O61" s="16"/>
      <c r="P61" s="11"/>
      <c r="Q61" s="11"/>
      <c r="R61" s="11"/>
      <c r="S61" s="15" t="str">
        <f aca="false">IF($M61="","",IF(ISNUMBER($M61),"Measured",IF(ISNUMBER(SEARCH("DATA GAP",UPPER($M61))),"Gap",IF(AND($N61&lt;&gt;"",$P61&lt;&gt;"T5"),"Documented","Judged"))))</f>
        <v/>
      </c>
      <c r="T61" s="15" t="str">
        <f aca="false">IF($AC61&lt;&gt;"","",IF(OR($S61="",$S61="Gap"),"",IF($S61="Measured",1+IF($H61="H",IF($M61&gt;=$I61,1,0)+IF($M61&gt;=$J61,1,0)+IF($M61&gt;=$K61,1,0)+IF($M61&gt;=$L61,1,0),IF($M61&lt;=$I61,1,0)+IF($M61&lt;=$J61,1,0)+IF($M61&lt;=$K61,1,0)+IF($M61&lt;=$L61,1,0)),IF($R61&lt;&gt;"",$R61,""))))</f>
        <v/>
      </c>
      <c r="U61" s="15" t="str">
        <f aca="false">IF(OR($S61="",$S61="Gap",$Q61=""),"",IF($Q61&lt;Config!$C$2-Config!$C$3,"STALE",""))</f>
        <v/>
      </c>
      <c r="V61" s="15" t="n">
        <f aca="false">IF(OR(ISNUMBER(SEARCH("ALL",$E61)),ISNUMBER(SEARCH("ADV",$E61))),1,0)</f>
        <v>1</v>
      </c>
      <c r="W61" s="15" t="n">
        <f aca="false">IF(OR(ISNUMBER(SEARCH("ALL",$E61)),ISNUMBER(SEARCH("SMF",$E61))),1,0)</f>
        <v>0</v>
      </c>
      <c r="X61" s="15" t="n">
        <f aca="false">IF(OR(ISNUMBER(SEARCH("ALL",$E61)),ISNUMBER(SEARCH("MKT",$E61))),1,0)</f>
        <v>0</v>
      </c>
      <c r="Y61" s="15" t="n">
        <f aca="false">IF(OR(ISNUMBER(SEARCH("ALL",$E61)),ISNUMBER(SEARCH("SCM",$E61))),1,0)</f>
        <v>0</v>
      </c>
      <c r="Z61" s="15" t="n">
        <f aca="false">IF(OR(ISNUMBER(SEARCH("ALL",$E61)),ISNUMBER(SEARCH("FIN",$E61))),1,0)</f>
        <v>0</v>
      </c>
      <c r="AA61" s="15" t="n">
        <f aca="false">IF(OR(ISNUMBER(SEARCH("ALL",$E61)),ISNUMBER(SEARCH("AGI",$E61))),1,0)</f>
        <v>0</v>
      </c>
    </row>
    <row r="64" customFormat="false" ht="15" hidden="false" customHeight="false" outlineLevel="0" collapsed="false">
      <c r="A64" s="17" t="s">
        <v>300</v>
      </c>
    </row>
    <row r="65" customFormat="false" ht="15" hidden="false" customHeight="false" outlineLevel="0" collapsed="false">
      <c r="A65" s="8" t="s">
        <v>115</v>
      </c>
      <c r="B65" s="8" t="s">
        <v>301</v>
      </c>
      <c r="C65" s="8" t="s">
        <v>302</v>
      </c>
      <c r="D65" s="8" t="s">
        <v>303</v>
      </c>
      <c r="E65" s="8" t="s">
        <v>304</v>
      </c>
      <c r="F65" s="8" t="s">
        <v>305</v>
      </c>
      <c r="G65" s="8" t="s">
        <v>306</v>
      </c>
      <c r="H65" s="8" t="s">
        <v>307</v>
      </c>
      <c r="I65" s="8" t="s">
        <v>308</v>
      </c>
      <c r="J65" s="8" t="s">
        <v>309</v>
      </c>
      <c r="K65" s="8" t="s">
        <v>129</v>
      </c>
    </row>
    <row r="66" customFormat="false" ht="15" hidden="false" customHeight="false" outlineLevel="0" collapsed="false">
      <c r="A66" s="9" t="s">
        <v>140</v>
      </c>
      <c r="B66" s="15" t="n">
        <f aca="false">COUNTIF($C$5:$C$61,$A66)</f>
        <v>10</v>
      </c>
      <c r="C66" s="15" t="n">
        <f aca="false">COUNTIFS($C$5:$C$61,$A66,$T$5:$T$61,"&gt;0")</f>
        <v>0</v>
      </c>
      <c r="D66" s="15" t="str">
        <f aca="false">IFERROR(ROUND(AVERAGEIF($C$5:$C$61,$A66,$T$5:$T$61),2),"")</f>
        <v/>
      </c>
      <c r="E66" s="9" t="str">
        <f aca="false">IF($D66="","Not rated",IF((COUNTIFS($C$5:$C$61,$A66,$S$5:$S$61,"Judged",$T$5:$T$61,"&gt;0")+$I66+$J66)&gt;($C66-COUNTIFS($C$5:$C$61,$A66,$S$5:$S$61,"Judged",$T$5:$T$61,"&gt;0")),"("&amp;IF($D66&lt;1.8,"Nascent",IF($D66&lt;2.6,"Emerging",IF($D66&lt;3.4,"Established",IF($D66&lt;4.2,"Advanced","Transformative"))))&amp;")",IF($D66&lt;1.8,"Nascent",IF($D66&lt;2.6,"Emerging",IF($D66&lt;3.4,"Established",IF($D66&lt;4.2,"Advanced","Transformative"))))))</f>
        <v>Not rated</v>
      </c>
      <c r="F66" s="15" t="n">
        <f aca="false">COUNTIFS($C$5:$C$61,$A66,$S$5:$S$61,"Measured")</f>
        <v>0</v>
      </c>
      <c r="G66" s="15" t="n">
        <f aca="false">COUNTIFS($C$5:$C$61,$A66,$S$5:$S$61,"Documented")</f>
        <v>0</v>
      </c>
      <c r="H66" s="15" t="n">
        <f aca="false">COUNTIFS($C$5:$C$61,$A66,$S$5:$S$61,"Judged")</f>
        <v>0</v>
      </c>
      <c r="I66" s="15" t="n">
        <f aca="false">COUNTIFS($C$5:$C$61,$A66,$S$5:$S$61,"Gap")</f>
        <v>0</v>
      </c>
      <c r="J66" s="15" t="n">
        <f aca="false">COUNTIFS($C$5:$C$61,$A66,$AC$5:$AC$61,"&lt;&gt;")</f>
        <v>0</v>
      </c>
      <c r="K66" s="15" t="n">
        <f aca="false">COUNTIFS($C$5:$C$61,$A66,$U$5:$U$61,"STALE")</f>
        <v>0</v>
      </c>
    </row>
    <row r="67" customFormat="false" ht="15" hidden="false" customHeight="false" outlineLevel="0" collapsed="false">
      <c r="A67" s="9" t="s">
        <v>170</v>
      </c>
      <c r="B67" s="15" t="n">
        <f aca="false">COUNTIF($C$5:$C$61,$A67)</f>
        <v>6</v>
      </c>
      <c r="C67" s="15" t="n">
        <f aca="false">COUNTIFS($C$5:$C$61,$A67,$T$5:$T$61,"&gt;0")</f>
        <v>0</v>
      </c>
      <c r="D67" s="15" t="str">
        <f aca="false">IFERROR(ROUND(AVERAGEIF($C$5:$C$61,$A67,$T$5:$T$61),2),"")</f>
        <v/>
      </c>
      <c r="E67" s="9" t="str">
        <f aca="false">IF($D67="","Not rated",IF((COUNTIFS($C$5:$C$61,$A67,$S$5:$S$61,"Judged",$T$5:$T$61,"&gt;0")+$I67+$J67)&gt;($C67-COUNTIFS($C$5:$C$61,$A67,$S$5:$S$61,"Judged",$T$5:$T$61,"&gt;0")),"("&amp;IF($D67&lt;1.8,"Nascent",IF($D67&lt;2.6,"Emerging",IF($D67&lt;3.4,"Established",IF($D67&lt;4.2,"Advanced","Transformative"))))&amp;")",IF($D67&lt;1.8,"Nascent",IF($D67&lt;2.6,"Emerging",IF($D67&lt;3.4,"Established",IF($D67&lt;4.2,"Advanced","Transformative"))))))</f>
        <v>Not rated</v>
      </c>
      <c r="F67" s="15" t="n">
        <f aca="false">COUNTIFS($C$5:$C$61,$A67,$S$5:$S$61,"Measured")</f>
        <v>0</v>
      </c>
      <c r="G67" s="15" t="n">
        <f aca="false">COUNTIFS($C$5:$C$61,$A67,$S$5:$S$61,"Documented")</f>
        <v>0</v>
      </c>
      <c r="H67" s="15" t="n">
        <f aca="false">COUNTIFS($C$5:$C$61,$A67,$S$5:$S$61,"Judged")</f>
        <v>0</v>
      </c>
      <c r="I67" s="15" t="n">
        <f aca="false">COUNTIFS($C$5:$C$61,$A67,$S$5:$S$61,"Gap")</f>
        <v>0</v>
      </c>
      <c r="J67" s="15" t="n">
        <f aca="false">COUNTIFS($C$5:$C$61,$A67,$AC$5:$AC$61,"&lt;&gt;")</f>
        <v>0</v>
      </c>
      <c r="K67" s="15" t="n">
        <f aca="false">COUNTIFS($C$5:$C$61,$A67,$U$5:$U$61,"STALE")</f>
        <v>0</v>
      </c>
    </row>
    <row r="68" customFormat="false" ht="15" hidden="false" customHeight="false" outlineLevel="0" collapsed="false">
      <c r="A68" s="9" t="s">
        <v>185</v>
      </c>
      <c r="B68" s="15" t="n">
        <f aca="false">COUNTIF($C$5:$C$61,$A68)</f>
        <v>8</v>
      </c>
      <c r="C68" s="15" t="n">
        <f aca="false">COUNTIFS($C$5:$C$61,$A68,$T$5:$T$61,"&gt;0")</f>
        <v>0</v>
      </c>
      <c r="D68" s="15" t="str">
        <f aca="false">IFERROR(ROUND(AVERAGEIF($C$5:$C$61,$A68,$T$5:$T$61),2),"")</f>
        <v/>
      </c>
      <c r="E68" s="9" t="str">
        <f aca="false">IF($D68="","Not rated",IF((COUNTIFS($C$5:$C$61,$A68,$S$5:$S$61,"Judged",$T$5:$T$61,"&gt;0")+$I68+$J68)&gt;($C68-COUNTIFS($C$5:$C$61,$A68,$S$5:$S$61,"Judged",$T$5:$T$61,"&gt;0")),"("&amp;IF($D68&lt;1.8,"Nascent",IF($D68&lt;2.6,"Emerging",IF($D68&lt;3.4,"Established",IF($D68&lt;4.2,"Advanced","Transformative"))))&amp;")",IF($D68&lt;1.8,"Nascent",IF($D68&lt;2.6,"Emerging",IF($D68&lt;3.4,"Established",IF($D68&lt;4.2,"Advanced","Transformative"))))))</f>
        <v>Not rated</v>
      </c>
      <c r="F68" s="15" t="n">
        <f aca="false">COUNTIFS($C$5:$C$61,$A68,$S$5:$S$61,"Measured")</f>
        <v>0</v>
      </c>
      <c r="G68" s="15" t="n">
        <f aca="false">COUNTIFS($C$5:$C$61,$A68,$S$5:$S$61,"Documented")</f>
        <v>0</v>
      </c>
      <c r="H68" s="15" t="n">
        <f aca="false">COUNTIFS($C$5:$C$61,$A68,$S$5:$S$61,"Judged")</f>
        <v>0</v>
      </c>
      <c r="I68" s="15" t="n">
        <f aca="false">COUNTIFS($C$5:$C$61,$A68,$S$5:$S$61,"Gap")</f>
        <v>0</v>
      </c>
      <c r="J68" s="15" t="n">
        <f aca="false">COUNTIFS($C$5:$C$61,$A68,$AC$5:$AC$61,"&lt;&gt;")</f>
        <v>0</v>
      </c>
      <c r="K68" s="15" t="n">
        <f aca="false">COUNTIFS($C$5:$C$61,$A68,$U$5:$U$61,"STALE")</f>
        <v>0</v>
      </c>
    </row>
    <row r="69" customFormat="false" ht="15" hidden="false" customHeight="false" outlineLevel="0" collapsed="false">
      <c r="A69" s="9" t="s">
        <v>212</v>
      </c>
      <c r="B69" s="15" t="n">
        <f aca="false">COUNTIF($C$5:$C$61,$A69)</f>
        <v>8</v>
      </c>
      <c r="C69" s="15" t="n">
        <f aca="false">COUNTIFS($C$5:$C$61,$A69,$T$5:$T$61,"&gt;0")</f>
        <v>0</v>
      </c>
      <c r="D69" s="15" t="str">
        <f aca="false">IFERROR(ROUND(AVERAGEIF($C$5:$C$61,$A69,$T$5:$T$61),2),"")</f>
        <v/>
      </c>
      <c r="E69" s="9" t="str">
        <f aca="false">IF($D69="","Not rated",IF((COUNTIFS($C$5:$C$61,$A69,$S$5:$S$61,"Judged",$T$5:$T$61,"&gt;0")+$I69+$J69)&gt;($C69-COUNTIFS($C$5:$C$61,$A69,$S$5:$S$61,"Judged",$T$5:$T$61,"&gt;0")),"("&amp;IF($D69&lt;1.8,"Nascent",IF($D69&lt;2.6,"Emerging",IF($D69&lt;3.4,"Established",IF($D69&lt;4.2,"Advanced","Transformative"))))&amp;")",IF($D69&lt;1.8,"Nascent",IF($D69&lt;2.6,"Emerging",IF($D69&lt;3.4,"Established",IF($D69&lt;4.2,"Advanced","Transformative"))))))</f>
        <v>Not rated</v>
      </c>
      <c r="F69" s="15" t="n">
        <f aca="false">COUNTIFS($C$5:$C$61,$A69,$S$5:$S$61,"Measured")</f>
        <v>0</v>
      </c>
      <c r="G69" s="15" t="n">
        <f aca="false">COUNTIFS($C$5:$C$61,$A69,$S$5:$S$61,"Documented")</f>
        <v>0</v>
      </c>
      <c r="H69" s="15" t="n">
        <f aca="false">COUNTIFS($C$5:$C$61,$A69,$S$5:$S$61,"Judged")</f>
        <v>0</v>
      </c>
      <c r="I69" s="15" t="n">
        <f aca="false">COUNTIFS($C$5:$C$61,$A69,$S$5:$S$61,"Gap")</f>
        <v>0</v>
      </c>
      <c r="J69" s="15" t="n">
        <f aca="false">COUNTIFS($C$5:$C$61,$A69,$AC$5:$AC$61,"&lt;&gt;")</f>
        <v>0</v>
      </c>
      <c r="K69" s="15" t="n">
        <f aca="false">COUNTIFS($C$5:$C$61,$A69,$U$5:$U$61,"STALE")</f>
        <v>0</v>
      </c>
    </row>
    <row r="70" customFormat="false" ht="15" hidden="false" customHeight="false" outlineLevel="0" collapsed="false">
      <c r="A70" s="9" t="s">
        <v>233</v>
      </c>
      <c r="B70" s="15" t="n">
        <f aca="false">COUNTIF($C$5:$C$61,$A70)</f>
        <v>7</v>
      </c>
      <c r="C70" s="15" t="n">
        <f aca="false">COUNTIFS($C$5:$C$61,$A70,$T$5:$T$61,"&gt;0")</f>
        <v>0</v>
      </c>
      <c r="D70" s="15" t="str">
        <f aca="false">IFERROR(ROUND(AVERAGEIF($C$5:$C$61,$A70,$T$5:$T$61),2),"")</f>
        <v/>
      </c>
      <c r="E70" s="9" t="str">
        <f aca="false">IF($D70="","Not rated",IF((COUNTIFS($C$5:$C$61,$A70,$S$5:$S$61,"Judged",$T$5:$T$61,"&gt;0")+$I70+$J70)&gt;($C70-COUNTIFS($C$5:$C$61,$A70,$S$5:$S$61,"Judged",$T$5:$T$61,"&gt;0")),"("&amp;IF($D70&lt;1.8,"Nascent",IF($D70&lt;2.6,"Emerging",IF($D70&lt;3.4,"Established",IF($D70&lt;4.2,"Advanced","Transformative"))))&amp;")",IF($D70&lt;1.8,"Nascent",IF($D70&lt;2.6,"Emerging",IF($D70&lt;3.4,"Established",IF($D70&lt;4.2,"Advanced","Transformative"))))))</f>
        <v>Not rated</v>
      </c>
      <c r="F70" s="15" t="n">
        <f aca="false">COUNTIFS($C$5:$C$61,$A70,$S$5:$S$61,"Measured")</f>
        <v>0</v>
      </c>
      <c r="G70" s="15" t="n">
        <f aca="false">COUNTIFS($C$5:$C$61,$A70,$S$5:$S$61,"Documented")</f>
        <v>0</v>
      </c>
      <c r="H70" s="15" t="n">
        <f aca="false">COUNTIFS($C$5:$C$61,$A70,$S$5:$S$61,"Judged")</f>
        <v>0</v>
      </c>
      <c r="I70" s="15" t="n">
        <f aca="false">COUNTIFS($C$5:$C$61,$A70,$S$5:$S$61,"Gap")</f>
        <v>0</v>
      </c>
      <c r="J70" s="15" t="n">
        <f aca="false">COUNTIFS($C$5:$C$61,$A70,$AC$5:$AC$61,"&lt;&gt;")</f>
        <v>0</v>
      </c>
      <c r="K70" s="15" t="n">
        <f aca="false">COUNTIFS($C$5:$C$61,$A70,$U$5:$U$61,"STALE")</f>
        <v>0</v>
      </c>
    </row>
    <row r="71" customFormat="false" ht="15" hidden="false" customHeight="false" outlineLevel="0" collapsed="false">
      <c r="A71" s="9" t="s">
        <v>251</v>
      </c>
      <c r="B71" s="15" t="n">
        <f aca="false">COUNTIF($C$5:$C$61,$A71)</f>
        <v>11</v>
      </c>
      <c r="C71" s="15" t="n">
        <f aca="false">COUNTIFS($C$5:$C$61,$A71,$T$5:$T$61,"&gt;0")</f>
        <v>0</v>
      </c>
      <c r="D71" s="15" t="str">
        <f aca="false">IFERROR(ROUND(AVERAGEIF($C$5:$C$61,$A71,$T$5:$T$61),2),"")</f>
        <v/>
      </c>
      <c r="E71" s="9" t="str">
        <f aca="false">IF($D71="","Not rated",IF((COUNTIFS($C$5:$C$61,$A71,$S$5:$S$61,"Judged",$T$5:$T$61,"&gt;0")+$I71+$J71)&gt;($C71-COUNTIFS($C$5:$C$61,$A71,$S$5:$S$61,"Judged",$T$5:$T$61,"&gt;0")),"("&amp;IF($D71&lt;1.8,"Nascent",IF($D71&lt;2.6,"Emerging",IF($D71&lt;3.4,"Established",IF($D71&lt;4.2,"Advanced","Transformative"))))&amp;")",IF($D71&lt;1.8,"Nascent",IF($D71&lt;2.6,"Emerging",IF($D71&lt;3.4,"Established",IF($D71&lt;4.2,"Advanced","Transformative"))))))</f>
        <v>Not rated</v>
      </c>
      <c r="F71" s="15" t="n">
        <f aca="false">COUNTIFS($C$5:$C$61,$A71,$S$5:$S$61,"Measured")</f>
        <v>0</v>
      </c>
      <c r="G71" s="15" t="n">
        <f aca="false">COUNTIFS($C$5:$C$61,$A71,$S$5:$S$61,"Documented")</f>
        <v>0</v>
      </c>
      <c r="H71" s="15" t="n">
        <f aca="false">COUNTIFS($C$5:$C$61,$A71,$S$5:$S$61,"Judged")</f>
        <v>0</v>
      </c>
      <c r="I71" s="15" t="n">
        <f aca="false">COUNTIFS($C$5:$C$61,$A71,$S$5:$S$61,"Gap")</f>
        <v>0</v>
      </c>
      <c r="J71" s="15" t="n">
        <f aca="false">COUNTIFS($C$5:$C$61,$A71,$AC$5:$AC$61,"&lt;&gt;")</f>
        <v>0</v>
      </c>
      <c r="K71" s="15" t="n">
        <f aca="false">COUNTIFS($C$5:$C$61,$A71,$U$5:$U$61,"STALE")</f>
        <v>0</v>
      </c>
    </row>
    <row r="72" customFormat="false" ht="15" hidden="false" customHeight="false" outlineLevel="0" collapsed="false">
      <c r="A72" s="9" t="s">
        <v>282</v>
      </c>
      <c r="B72" s="15" t="n">
        <f aca="false">COUNTIF($C$5:$C$61,$A72)</f>
        <v>7</v>
      </c>
      <c r="C72" s="15" t="n">
        <f aca="false">COUNTIFS($C$5:$C$61,$A72,$T$5:$T$61,"&gt;0")</f>
        <v>0</v>
      </c>
      <c r="D72" s="15" t="str">
        <f aca="false">IFERROR(ROUND(AVERAGEIF($C$5:$C$61,$A72,$T$5:$T$61),2),"")</f>
        <v/>
      </c>
      <c r="E72" s="9" t="str">
        <f aca="false">IF($D72="","Not rated",IF((COUNTIFS($C$5:$C$61,$A72,$S$5:$S$61,"Judged",$T$5:$T$61,"&gt;0")+$I72+$J72)&gt;($C72-COUNTIFS($C$5:$C$61,$A72,$S$5:$S$61,"Judged",$T$5:$T$61,"&gt;0")),"("&amp;IF($D72&lt;1.8,"Nascent",IF($D72&lt;2.6,"Emerging",IF($D72&lt;3.4,"Established",IF($D72&lt;4.2,"Advanced","Transformative"))))&amp;")",IF($D72&lt;1.8,"Nascent",IF($D72&lt;2.6,"Emerging",IF($D72&lt;3.4,"Established",IF($D72&lt;4.2,"Advanced","Transformative"))))))</f>
        <v>Not rated</v>
      </c>
      <c r="F72" s="15" t="n">
        <f aca="false">COUNTIFS($C$5:$C$61,$A72,$S$5:$S$61,"Measured")</f>
        <v>0</v>
      </c>
      <c r="G72" s="15" t="n">
        <f aca="false">COUNTIFS($C$5:$C$61,$A72,$S$5:$S$61,"Documented")</f>
        <v>0</v>
      </c>
      <c r="H72" s="15" t="n">
        <f aca="false">COUNTIFS($C$5:$C$61,$A72,$S$5:$S$61,"Judged")</f>
        <v>0</v>
      </c>
      <c r="I72" s="15" t="n">
        <f aca="false">COUNTIFS($C$5:$C$61,$A72,$S$5:$S$61,"Gap")</f>
        <v>0</v>
      </c>
      <c r="J72" s="15" t="n">
        <f aca="false">COUNTIFS($C$5:$C$61,$A72,$AC$5:$AC$61,"&lt;&gt;")</f>
        <v>0</v>
      </c>
      <c r="K72" s="15" t="n">
        <f aca="false">COUNTIFS($C$5:$C$61,$A72,$U$5:$U$61,"STALE")</f>
        <v>0</v>
      </c>
    </row>
    <row r="75" customFormat="false" ht="15" hidden="false" customHeight="false" outlineLevel="0" collapsed="false">
      <c r="A75" s="17" t="s">
        <v>310</v>
      </c>
    </row>
    <row r="76" customFormat="false" ht="15" hidden="false" customHeight="false" outlineLevel="0" collapsed="false">
      <c r="A76" s="9" t="s">
        <v>141</v>
      </c>
      <c r="B76" s="15" t="str">
        <f aca="false">IFERROR(ROUND(AVERAGEIF($D$5:$D$61,$A76,$T$5:$T$61),2),"")</f>
        <v/>
      </c>
    </row>
    <row r="77" customFormat="false" ht="15" hidden="false" customHeight="false" outlineLevel="0" collapsed="false">
      <c r="A77" s="9" t="s">
        <v>186</v>
      </c>
      <c r="B77" s="15" t="str">
        <f aca="false">IFERROR(ROUND(AVERAGEIF($D$5:$D$61,$A77,$T$5:$T$61),2),"")</f>
        <v/>
      </c>
    </row>
    <row r="78" customFormat="false" ht="15" hidden="false" customHeight="false" outlineLevel="0" collapsed="false">
      <c r="A78" s="9" t="s">
        <v>256</v>
      </c>
      <c r="B78" s="15" t="str">
        <f aca="false">IFERROR(ROUND(AVERAGEIF($D$5:$D$61,$A78,$T$5:$T$61),2),"")</f>
        <v/>
      </c>
    </row>
    <row r="79" customFormat="false" ht="15" hidden="false" customHeight="false" outlineLevel="0" collapsed="false">
      <c r="A79" s="9" t="s">
        <v>283</v>
      </c>
      <c r="B79" s="15" t="str">
        <f aca="false">IFERROR(ROUND(AVERAGEIF($D$5:$D$61,$A79,$T$5:$T$61),2),"")</f>
        <v/>
      </c>
    </row>
    <row r="81" customFormat="false" ht="15" hidden="false" customHeight="false" outlineLevel="0" collapsed="false">
      <c r="A81" s="5" t="s">
        <v>311</v>
      </c>
      <c r="B81" s="9" t="str">
        <f aca="false">IF(OR($B$76="",$B$78=""),"",ROUND($B$76-$B$78,2))</f>
        <v/>
      </c>
      <c r="C81" s="15" t="str">
        <f aca="false">IF($B$81="","",IF(ABS($B$81)&gt;Config!$C$5,IF($B$81&gt;0,"FLAG — unrealized foundations","FLAG — services ahead of their rails"),"No structural flag"))</f>
        <v/>
      </c>
    </row>
    <row r="84" customFormat="false" ht="15" hidden="false" customHeight="false" outlineLevel="0" collapsed="false">
      <c r="A84" s="17" t="s">
        <v>312</v>
      </c>
    </row>
    <row r="85" customFormat="false" ht="15" hidden="false" customHeight="false" outlineLevel="0" collapsed="false">
      <c r="A85" s="8" t="s">
        <v>113</v>
      </c>
      <c r="B85" s="8" t="s">
        <v>313</v>
      </c>
      <c r="C85" s="8" t="s">
        <v>314</v>
      </c>
      <c r="D85" s="8" t="s">
        <v>315</v>
      </c>
    </row>
    <row r="86" customFormat="false" ht="15" hidden="false" customHeight="false" outlineLevel="0" collapsed="false">
      <c r="A86" s="15" t="s">
        <v>168</v>
      </c>
      <c r="B86" s="10" t="str">
        <f aca="false">INDEX($B$5:$B$61,MATCH($A86,$A$5:$A$61,0))</f>
        <v>Rural mobile broadband coverage (3G/4G)</v>
      </c>
      <c r="C86" s="15" t="s">
        <v>316</v>
      </c>
      <c r="D86" s="9" t="str">
        <f aca="false">IF(OR(INDEX($S$5:$S$61,MATCH($A86,$A$5:$A$61,0))="Gap",INDEX($S$5:$S$61,MATCH($A86,$A$5:$A$61,0))="",INDEX($T$5:$T$61,MATCH($A86,$A$5:$A$61,0))=""),"Unverified",IF(INDEX($T$5:$T$61,MATCH($A86,$A$5:$A$61,0))&gt;=3,"Present",IF(INDEX($T$5:$T$61,MATCH($A86,$A$5:$A$61,0))=2,"Present (narrow)","Absent")))</f>
        <v>Unverified</v>
      </c>
    </row>
    <row r="87" customFormat="false" ht="15" hidden="false" customHeight="false" outlineLevel="0" collapsed="false">
      <c r="A87" s="15" t="s">
        <v>179</v>
      </c>
      <c r="B87" s="10" t="str">
        <f aca="false">INDEX($B$5:$B$61,MATCH($A87,$A$5:$A$61,0))</f>
        <v>Rural electricity access (%)</v>
      </c>
      <c r="C87" s="15" t="s">
        <v>316</v>
      </c>
      <c r="D87" s="9" t="str">
        <f aca="false">IF(OR(INDEX($S$5:$S$61,MATCH($A87,$A$5:$A$61,0))="Gap",INDEX($S$5:$S$61,MATCH($A87,$A$5:$A$61,0))="",INDEX($T$5:$T$61,MATCH($A87,$A$5:$A$61,0))=""),"Unverified",IF(INDEX($T$5:$T$61,MATCH($A87,$A$5:$A$61,0))&gt;=3,"Present",IF(INDEX($T$5:$T$61,MATCH($A87,$A$5:$A$61,0))=2,"Present (narrow)","Absent")))</f>
        <v>Unverified</v>
      </c>
    </row>
    <row r="88" customFormat="false" ht="15" hidden="false" customHeight="false" outlineLevel="0" collapsed="false">
      <c r="A88" s="15" t="s">
        <v>210</v>
      </c>
      <c r="B88" s="10" t="str">
        <f aca="false">INDEX($B$5:$B$61,MATCH($A88,$A$5:$A$61,0))</f>
        <v>Data protection/privacy law</v>
      </c>
      <c r="C88" s="15" t="s">
        <v>316</v>
      </c>
      <c r="D88" s="9" t="str">
        <f aca="false">IF(OR(INDEX($S$5:$S$61,MATCH($A88,$A$5:$A$61,0))="Gap",INDEX($S$5:$S$61,MATCH($A88,$A$5:$A$61,0))="",INDEX($T$5:$T$61,MATCH($A88,$A$5:$A$61,0))=""),"Unverified",IF(INDEX($T$5:$T$61,MATCH($A88,$A$5:$A$61,0))&gt;=3,"Present",IF(INDEX($T$5:$T$61,MATCH($A88,$A$5:$A$61,0))=2,"Present (narrow)","Absent")))</f>
        <v>Unverified</v>
      </c>
    </row>
    <row r="89" customFormat="false" ht="15" hidden="false" customHeight="false" outlineLevel="0" collapsed="false">
      <c r="A89" s="15" t="s">
        <v>188</v>
      </c>
      <c r="B89" s="10" t="str">
        <f aca="false">INDEX($B$5:$B$61,MATCH($A89,$A$5:$A$61,0))</f>
        <v>National farmer registry</v>
      </c>
      <c r="C89" s="15" t="s">
        <v>317</v>
      </c>
      <c r="D89" s="9" t="str">
        <f aca="false">IF(OR(INDEX($S$5:$S$61,MATCH($A89,$A$5:$A$61,0))="Gap",INDEX($S$5:$S$61,MATCH($A89,$A$5:$A$61,0))="",INDEX($T$5:$T$61,MATCH($A89,$A$5:$A$61,0))=""),"Unverified",IF(INDEX($T$5:$T$61,MATCH($A89,$A$5:$A$61,0))&gt;=3,"Present",IF(INDEX($T$5:$T$61,MATCH($A89,$A$5:$A$61,0))=2,"Present (narrow)","Absent")))</f>
        <v>Unverified</v>
      </c>
    </row>
    <row r="90" customFormat="false" ht="15" hidden="false" customHeight="false" outlineLevel="0" collapsed="false">
      <c r="A90" s="15" t="s">
        <v>207</v>
      </c>
      <c r="B90" s="10" t="str">
        <f aca="false">INDEX($B$5:$B$61,MATCH($A90,$A$5:$A$61,0))</f>
        <v>Agricultural data interoperability standards</v>
      </c>
      <c r="C90" s="15" t="s">
        <v>318</v>
      </c>
      <c r="D90" s="9" t="str">
        <f aca="false">IF(OR(INDEX($S$5:$S$61,MATCH($A90,$A$5:$A$61,0))="Gap",INDEX($S$5:$S$61,MATCH($A90,$A$5:$A$61,0))="",INDEX($T$5:$T$61,MATCH($A90,$A$5:$A$61,0))=""),"Unverified",IF(INDEX($T$5:$T$61,MATCH($A90,$A$5:$A$61,0))&gt;=3,"Present",IF(INDEX($T$5:$T$61,MATCH($A90,$A$5:$A$61,0))=2,"Present (narrow)","Absent")))</f>
        <v>Unverified</v>
      </c>
    </row>
    <row r="91" customFormat="false" ht="15" hidden="false" customHeight="false" outlineLevel="0" collapsed="false">
      <c r="A91" s="15" t="s">
        <v>219</v>
      </c>
      <c r="B91" s="10" t="str">
        <f aca="false">INDEX($B$5:$B$61,MATCH($A91,$A$5:$A$61,0))</f>
        <v>Agricultural data governance framework</v>
      </c>
      <c r="C91" s="15" t="s">
        <v>318</v>
      </c>
      <c r="D91" s="9" t="str">
        <f aca="false">IF(OR(INDEX($S$5:$S$61,MATCH($A91,$A$5:$A$61,0))="Gap",INDEX($S$5:$S$61,MATCH($A91,$A$5:$A$61,0))="",INDEX($T$5:$T$61,MATCH($A91,$A$5:$A$61,0))=""),"Unverified",IF(INDEX($T$5:$T$61,MATCH($A91,$A$5:$A$61,0))&gt;=3,"Present",IF(INDEX($T$5:$T$61,MATCH($A91,$A$5:$A$61,0))=2,"Present (narrow)","Absent")))</f>
        <v>Unverified</v>
      </c>
    </row>
    <row r="92" customFormat="false" ht="15" hidden="false" customHeight="false" outlineLevel="0" collapsed="false">
      <c r="A92" s="15" t="s">
        <v>224</v>
      </c>
      <c r="B92" s="10" t="str">
        <f aca="false">INDEX($B$5:$B$61,MATCH($A92,$A$5:$A$61,0))</f>
        <v>Digital ID coverage (%)</v>
      </c>
      <c r="C92" s="15" t="s">
        <v>319</v>
      </c>
      <c r="D92" s="9" t="str">
        <f aca="false">IF(OR(INDEX($S$5:$S$61,MATCH($A92,$A$5:$A$61,0))="Gap",INDEX($S$5:$S$61,MATCH($A92,$A$5:$A$61,0))="",INDEX($T$5:$T$61,MATCH($A92,$A$5:$A$61,0))=""),"Unverified",IF(INDEX($T$5:$T$61,MATCH($A92,$A$5:$A$61,0))&gt;=3,"Present",IF(INDEX($T$5:$T$61,MATCH($A92,$A$5:$A$61,0))=2,"Present (narrow)","Absent")))</f>
        <v>Unverified</v>
      </c>
    </row>
    <row r="93" customFormat="false" ht="15" hidden="false" customHeight="false" outlineLevel="0" collapsed="false">
      <c r="A93" s="15" t="s">
        <v>228</v>
      </c>
      <c r="B93" s="10" t="str">
        <f aca="false">INDEX($B$5:$B$61,MATCH($A93,$A$5:$A$61,0))</f>
        <v>Inter-ministerial coordination mechanism</v>
      </c>
      <c r="C93" s="15" t="s">
        <v>320</v>
      </c>
      <c r="D93" s="9" t="str">
        <f aca="false">IF(OR(INDEX($S$5:$S$61,MATCH($A93,$A$5:$A$61,0))="Gap",INDEX($S$5:$S$61,MATCH($A93,$A$5:$A$61,0))="",INDEX($T$5:$T$61,MATCH($A93,$A$5:$A$61,0))=""),"Unverified",IF(INDEX($T$5:$T$61,MATCH($A93,$A$5:$A$61,0))&gt;=3,"Present",IF(INDEX($T$5:$T$61,MATCH($A93,$A$5:$A$61,0))=2,"Present (narrow)","Absent")))</f>
        <v>Unverified</v>
      </c>
    </row>
    <row r="94" customFormat="false" ht="15" hidden="false" customHeight="false" outlineLevel="0" collapsed="false">
      <c r="A94" s="15" t="s">
        <v>238</v>
      </c>
      <c r="B94" s="10" t="str">
        <f aca="false">INDEX($B$5:$B$61,MATCH($A94,$A$5:$A$61,0))</f>
        <v>Digital extension capability</v>
      </c>
      <c r="C94" s="15" t="s">
        <v>321</v>
      </c>
      <c r="D94" s="9" t="str">
        <f aca="false">IF(OR(INDEX($S$5:$S$61,MATCH($A94,$A$5:$A$61,0))="Gap",INDEX($S$5:$S$61,MATCH($A94,$A$5:$A$61,0))="",INDEX($T$5:$T$61,MATCH($A94,$A$5:$A$61,0))=""),"Unverified",IF(INDEX($T$5:$T$61,MATCH($A94,$A$5:$A$61,0))&gt;=3,"Present",IF(INDEX($T$5:$T$61,MATCH($A94,$A$5:$A$61,0))=2,"Present (narrow)","Absent")))</f>
        <v>Unverified</v>
      </c>
    </row>
    <row r="95" customFormat="false" ht="15" hidden="false" customHeight="false" outlineLevel="0" collapsed="false">
      <c r="A95" s="15" t="s">
        <v>242</v>
      </c>
      <c r="B95" s="10" t="str">
        <f aca="false">INDEX($B$5:$B$61,MATCH($A95,$A$5:$A$61,0))</f>
        <v>MoAg digital/AI unit</v>
      </c>
      <c r="C95" s="15" t="s">
        <v>320</v>
      </c>
      <c r="D95" s="9" t="str">
        <f aca="false">IF(OR(INDEX($S$5:$S$61,MATCH($A95,$A$5:$A$61,0))="Gap",INDEX($S$5:$S$61,MATCH($A95,$A$5:$A$61,0))="",INDEX($T$5:$T$61,MATCH($A95,$A$5:$A$61,0))=""),"Unverified",IF(INDEX($T$5:$T$61,MATCH($A95,$A$5:$A$61,0))&gt;=3,"Present",IF(INDEX($T$5:$T$61,MATCH($A95,$A$5:$A$61,0))=2,"Present (narrow)","Absent")))</f>
        <v>Unverified</v>
      </c>
    </row>
    <row r="96" customFormat="false" ht="15" hidden="false" customHeight="false" outlineLevel="0" collapsed="false">
      <c r="A96" s="15" t="s">
        <v>265</v>
      </c>
      <c r="B96" s="10" t="str">
        <f aca="false">INDEX($B$5:$B$61,MATCH($A96,$A$5:$A$61,0))</f>
        <v>Agri-fintech rails for smallholders</v>
      </c>
      <c r="C96" s="15" t="s">
        <v>319</v>
      </c>
      <c r="D96" s="9" t="str">
        <f aca="false">IF(OR(INDEX($S$5:$S$61,MATCH($A96,$A$5:$A$61,0))="Gap",INDEX($S$5:$S$61,MATCH($A96,$A$5:$A$61,0))="",INDEX($T$5:$T$61,MATCH($A96,$A$5:$A$61,0))=""),"Unverified",IF(INDEX($T$5:$T$61,MATCH($A96,$A$5:$A$61,0))&gt;=3,"Present",IF(INDEX($T$5:$T$61,MATCH($A96,$A$5:$A$61,0))=2,"Present (narrow)","Absent")))</f>
        <v>Unverified</v>
      </c>
    </row>
    <row r="97" customFormat="false" ht="15" hidden="false" customHeight="false" outlineLevel="0" collapsed="false">
      <c r="A97" s="15" t="s">
        <v>276</v>
      </c>
      <c r="B97" s="10" t="str">
        <f aca="false">INDEX($B$5:$B$61,MATCH($A97,$A$5:$A$61,0))</f>
        <v>Responsible-AI safeguards (consent, rights)</v>
      </c>
      <c r="C97" s="15" t="s">
        <v>322</v>
      </c>
      <c r="D97" s="9" t="str">
        <f aca="false">IF(OR(INDEX($S$5:$S$61,MATCH($A97,$A$5:$A$61,0))="Gap",INDEX($S$5:$S$61,MATCH($A97,$A$5:$A$61,0))="",INDEX($T$5:$T$61,MATCH($A97,$A$5:$A$61,0))=""),"Unverified",IF(INDEX($T$5:$T$61,MATCH($A97,$A$5:$A$61,0))&gt;=3,"Present",IF(INDEX($T$5:$T$61,MATCH($A97,$A$5:$A$61,0))=2,"Present (narrow)","Absent")))</f>
        <v>Unverified</v>
      </c>
    </row>
    <row r="100" customFormat="false" ht="15" hidden="false" customHeight="false" outlineLevel="0" collapsed="false">
      <c r="A100" s="17" t="s">
        <v>323</v>
      </c>
    </row>
    <row r="101" customFormat="false" ht="15" hidden="false" customHeight="false" outlineLevel="0" collapsed="false">
      <c r="A101" s="8" t="s">
        <v>324</v>
      </c>
      <c r="B101" s="8" t="s">
        <v>325</v>
      </c>
      <c r="C101" s="8" t="s">
        <v>315</v>
      </c>
      <c r="D101" s="8" t="s">
        <v>326</v>
      </c>
    </row>
    <row r="102" customFormat="false" ht="15" hidden="false" customHeight="false" outlineLevel="0" collapsed="false">
      <c r="A102" s="9" t="s">
        <v>327</v>
      </c>
      <c r="B102" s="15" t="str">
        <f aca="false">IFERROR(ROUND(AVERAGEIF(V$5:V$61,1,$T$5:$T$61),2),"")</f>
        <v/>
      </c>
      <c r="C102" s="9" t="str">
        <f aca="false">IF(OR($D$86="Absent",$D$87="Absent",$D$88="Absent",$D$94="Absent"),"Blocked",IF(OR($D$86="Unverified",$D$87="Unverified",$D$88="Unverified",$D$94="Unverified"),"Unverified",IF(OR(OR($D$94="Present (narrow)"),$B102&lt;Config!$C$4,OR($D$86="Present (narrow)",$D$87="Present (narrow)",$D$88="Present (narrow)")),"Partial","Ready")))</f>
        <v>Unverified</v>
      </c>
      <c r="D102" s="10" t="str">
        <f aca="false">IF($C102="Ready","",IF(TRIM(IF($D$86&lt;&gt;"Present",$A$86&amp;" ","")&amp;IF($D$87&lt;&gt;"Present",$A$87&amp;" ","")&amp;IF($D$88&lt;&gt;"Present",$A$88&amp;" ","")&amp;IF($D$94&lt;&gt;"Present",$A$94&amp;" ",""))&lt;&gt;"",TRIM(IF($D$86&lt;&gt;"Present",$A$86&amp;" ","")&amp;IF($D$87&lt;&gt;"Present",$A$87&amp;" ","")&amp;IF($D$88&lt;&gt;"Present",$A$88&amp;" ","")&amp;IF($D$94&lt;&gt;"Present",$A$94&amp;" ","")),IF($B102&lt;Config!$C$4,"thin enablers (mean below "&amp;TEXT(Config!$C$4,"0.0")&amp;")","")))</f>
        <v>2.1 2.9 4.1 5.5</v>
      </c>
    </row>
    <row r="103" customFormat="false" ht="15" hidden="false" customHeight="false" outlineLevel="0" collapsed="false">
      <c r="A103" s="9" t="s">
        <v>328</v>
      </c>
      <c r="B103" s="15" t="str">
        <f aca="false">IFERROR(ROUND(AVERAGEIF(W$5:W$61,1,$T$5:$T$61),2),"")</f>
        <v/>
      </c>
      <c r="C103" s="9" t="str">
        <f aca="false">IF(OR($D$86="Absent",$D$87="Absent",$D$88="Absent"),"Blocked",IF(OR($D$86="Unverified",$D$87="Unverified",$D$88="Unverified"),"Unverified",IF(OR($B103&lt;Config!$C$4,OR($D$86="Present (narrow)",$D$87="Present (narrow)",$D$88="Present (narrow)")),"Partial","Ready")))</f>
        <v>Unverified</v>
      </c>
      <c r="D103" s="10" t="str">
        <f aca="false">IF($C103="Ready","",IF(TRIM(IF($D$86&lt;&gt;"Present",$A$86&amp;" ","")&amp;IF($D$87&lt;&gt;"Present",$A$87&amp;" ","")&amp;IF($D$88&lt;&gt;"Present",$A$88&amp;" ",""))&lt;&gt;"",TRIM(IF($D$86&lt;&gt;"Present",$A$86&amp;" ","")&amp;IF($D$87&lt;&gt;"Present",$A$87&amp;" ","")&amp;IF($D$88&lt;&gt;"Present",$A$88&amp;" ","")),IF($B103&lt;Config!$C$4,"thin enablers (mean below "&amp;TEXT(Config!$C$4,"0.0")&amp;")","")))</f>
        <v>2.1 2.9 4.1</v>
      </c>
    </row>
    <row r="104" customFormat="false" ht="15" hidden="false" customHeight="false" outlineLevel="0" collapsed="false">
      <c r="A104" s="9" t="s">
        <v>329</v>
      </c>
      <c r="B104" s="15" t="str">
        <f aca="false">IFERROR(ROUND(AVERAGEIF(X$5:X$61,1,$T$5:$T$61),2),"")</f>
        <v/>
      </c>
      <c r="C104" s="9" t="str">
        <f aca="false">IF(OR($D$86="Absent",$D$87="Absent",$D$88="Absent"),"Blocked",IF(OR($D$86="Unverified",$D$87="Unverified",$D$88="Unverified"),"Unverified",IF(OR($B104&lt;Config!$C$4,OR($D$86="Present (narrow)",$D$87="Present (narrow)",$D$88="Present (narrow)")),"Partial","Ready")))</f>
        <v>Unverified</v>
      </c>
      <c r="D104" s="10" t="str">
        <f aca="false">IF($C104="Ready","",IF(TRIM(IF($D$86&lt;&gt;"Present",$A$86&amp;" ","")&amp;IF($D$87&lt;&gt;"Present",$A$87&amp;" ","")&amp;IF($D$88&lt;&gt;"Present",$A$88&amp;" ",""))&lt;&gt;"",TRIM(IF($D$86&lt;&gt;"Present",$A$86&amp;" ","")&amp;IF($D$87&lt;&gt;"Present",$A$87&amp;" ","")&amp;IF($D$88&lt;&gt;"Present",$A$88&amp;" ","")),IF($B104&lt;Config!$C$4,"thin enablers (mean below "&amp;TEXT(Config!$C$4,"0.0")&amp;")","")))</f>
        <v>2.1 2.9 4.1</v>
      </c>
    </row>
    <row r="105" customFormat="false" ht="15" hidden="false" customHeight="false" outlineLevel="0" collapsed="false">
      <c r="A105" s="9" t="s">
        <v>330</v>
      </c>
      <c r="B105" s="15" t="str">
        <f aca="false">IFERROR(ROUND(AVERAGEIF(Y$5:Y$61,1,$T$5:$T$61),2),"")</f>
        <v/>
      </c>
      <c r="C105" s="9" t="str">
        <f aca="false">IF(OR($D$86="Absent",$D$87="Absent",$D$88="Absent"),"Blocked",IF(OR($D$86="Unverified",$D$87="Unverified",$D$88="Unverified"),"Unverified",IF(OR($B105&lt;Config!$C$4,OR($D$86="Present (narrow)",$D$87="Present (narrow)",$D$88="Present (narrow)")),"Partial","Ready")))</f>
        <v>Unverified</v>
      </c>
      <c r="D105" s="10" t="str">
        <f aca="false">IF($C105="Ready","",IF(TRIM(IF($D$86&lt;&gt;"Present",$A$86&amp;" ","")&amp;IF($D$87&lt;&gt;"Present",$A$87&amp;" ","")&amp;IF($D$88&lt;&gt;"Present",$A$88&amp;" ",""))&lt;&gt;"",TRIM(IF($D$86&lt;&gt;"Present",$A$86&amp;" ","")&amp;IF($D$87&lt;&gt;"Present",$A$87&amp;" ","")&amp;IF($D$88&lt;&gt;"Present",$A$88&amp;" ","")),IF($B105&lt;Config!$C$4,"thin enablers (mean below "&amp;TEXT(Config!$C$4,"0.0")&amp;")","")))</f>
        <v>2.1 2.9 4.1</v>
      </c>
    </row>
    <row r="106" customFormat="false" ht="23.85" hidden="false" customHeight="false" outlineLevel="0" collapsed="false">
      <c r="A106" s="9" t="s">
        <v>331</v>
      </c>
      <c r="B106" s="15" t="str">
        <f aca="false">IFERROR(ROUND(AVERAGEIF(Z$5:Z$61,1,$T$5:$T$61),2),"")</f>
        <v/>
      </c>
      <c r="C106" s="9" t="str">
        <f aca="false">IF(OR($D$86="Absent",$D$87="Absent",$D$88="Absent",$D$89="Absent",$D$92="Absent",$D$96="Absent"),"Blocked",IF(OR($D$86="Unverified",$D$87="Unverified",$D$88="Unverified",$D$89="Unverified",$D$92="Unverified",$D$96="Unverified"),"Unverified",IF(OR(OR($D$89="Present (narrow)",$D$92="Present (narrow)",$D$96="Present (narrow)"),$B106&lt;Config!$C$4,OR($D$86="Present (narrow)",$D$87="Present (narrow)",$D$88="Present (narrow)")),"Partial","Ready")))</f>
        <v>Unverified</v>
      </c>
      <c r="D106" s="10" t="str">
        <f aca="false">IF($C106="Ready","",IF(TRIM(IF($D$86&lt;&gt;"Present",$A$86&amp;" ","")&amp;IF($D$87&lt;&gt;"Present",$A$87&amp;" ","")&amp;IF($D$88&lt;&gt;"Present",$A$88&amp;" ","")&amp;IF($D$89&lt;&gt;"Present",$A$89&amp;" ","")&amp;IF($D$92&lt;&gt;"Present",$A$92&amp;" ","")&amp;IF($D$96&lt;&gt;"Present",$A$96&amp;" ",""))&lt;&gt;"",TRIM(IF($D$86&lt;&gt;"Present",$A$86&amp;" ","")&amp;IF($D$87&lt;&gt;"Present",$A$87&amp;" ","")&amp;IF($D$88&lt;&gt;"Present",$A$88&amp;" ","")&amp;IF($D$89&lt;&gt;"Present",$A$89&amp;" ","")&amp;IF($D$92&lt;&gt;"Present",$A$92&amp;" ","")&amp;IF($D$96&lt;&gt;"Present",$A$96&amp;" ","")),IF($B106&lt;Config!$C$4,"thin enablers (mean below "&amp;TEXT(Config!$C$4,"0.0")&amp;")","")))</f>
        <v>2.1 2.9 4.1 3.3 4.7 6.14</v>
      </c>
    </row>
    <row r="107" customFormat="false" ht="23.85" hidden="false" customHeight="false" outlineLevel="0" collapsed="false">
      <c r="A107" s="9" t="s">
        <v>332</v>
      </c>
      <c r="B107" s="15" t="str">
        <f aca="false">IFERROR(ROUND(AVERAGEIF(AA$5:AA$61,1,$T$5:$T$61),2),"")</f>
        <v/>
      </c>
      <c r="C107" s="9" t="str">
        <f aca="false">IF(OR($D$86="Absent",$D$87="Absent",$D$88="Absent",$D$89="Absent",$D$90="Absent",$D$91="Absent",$D$97="Absent"),"Blocked",IF(OR($D$86="Unverified",$D$87="Unverified",$D$88="Unverified",$D$89="Unverified",$D$90="Unverified",$D$91="Unverified",$D$97="Unverified"),"Unverified",IF(OR(OR($D$89="Present (narrow)",$D$90="Present (narrow)",$D$91="Present (narrow)",$D$97="Present (narrow)"),$B107&lt;Config!$C$4,OR($D$86="Present (narrow)",$D$87="Present (narrow)",$D$88="Present (narrow)")),"Partial","Ready")))</f>
        <v>Unverified</v>
      </c>
      <c r="D107" s="10" t="str">
        <f aca="false">IF($C107="Ready","",IF(TRIM(IF($D$86&lt;&gt;"Present",$A$86&amp;" ","")&amp;IF($D$87&lt;&gt;"Present",$A$87&amp;" ","")&amp;IF($D$88&lt;&gt;"Present",$A$88&amp;" ","")&amp;IF($D$89&lt;&gt;"Present",$A$89&amp;" ","")&amp;IF($D$90&lt;&gt;"Present",$A$90&amp;" ","")&amp;IF($D$91&lt;&gt;"Present",$A$91&amp;" ","")&amp;IF($D$97&lt;&gt;"Present",$A$97&amp;" ",""))&lt;&gt;"",TRIM(IF($D$86&lt;&gt;"Present",$A$86&amp;" ","")&amp;IF($D$87&lt;&gt;"Present",$A$87&amp;" ","")&amp;IF($D$88&lt;&gt;"Present",$A$88&amp;" ","")&amp;IF($D$89&lt;&gt;"Present",$A$89&amp;" ","")&amp;IF($D$90&lt;&gt;"Present",$A$90&amp;" ","")&amp;IF($D$91&lt;&gt;"Present",$A$91&amp;" ","")&amp;IF($D$97&lt;&gt;"Present",$A$97&amp;" ","")),IF($B107&lt;Config!$C$4,"thin enablers (mean below "&amp;TEXT(Config!$C$4,"0.0")&amp;")","")))</f>
        <v>2.1 2.9 4.1 3.3 3.11 4.5 7.12</v>
      </c>
    </row>
  </sheetData>
  <dataValidations count="2">
    <dataValidation allowBlank="true" errorStyle="stop" operator="between" showDropDown="false" showErrorMessage="false" showInputMessage="false" sqref="P5:P61" type="list">
      <formula1>"T1,T2,T3,T4,T5"</formula1>
      <formula2>0</formula2>
    </dataValidation>
    <dataValidation allowBlank="true" errorStyle="stop" operator="between" showDropDown="false" showErrorMessage="false" showInputMessage="false" sqref="R5:R61" type="list">
      <formula1>"1,2,3,4,5"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6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B1" s="1" t="s">
        <v>333</v>
      </c>
    </row>
    <row r="2" customFormat="false" ht="15" hidden="false" customHeight="false" outlineLevel="0" collapsed="false">
      <c r="B2" s="2" t="s">
        <v>334</v>
      </c>
    </row>
    <row r="4" customFormat="false" ht="15" hidden="false" customHeight="false" outlineLevel="0" collapsed="false">
      <c r="B4" s="8" t="s">
        <v>335</v>
      </c>
      <c r="C4" s="8" t="s">
        <v>28</v>
      </c>
      <c r="D4" s="8" t="s">
        <v>128</v>
      </c>
      <c r="E4" s="8" t="s">
        <v>336</v>
      </c>
      <c r="F4" s="8" t="s">
        <v>337</v>
      </c>
      <c r="G4" s="8" t="s">
        <v>338</v>
      </c>
      <c r="H4" s="8" t="s">
        <v>339</v>
      </c>
      <c r="I4" s="8" t="s">
        <v>315</v>
      </c>
    </row>
    <row r="5" customFormat="false" ht="15" hidden="false" customHeight="false" outlineLevel="0" collapsed="false">
      <c r="B5" s="16"/>
      <c r="C5" s="16"/>
      <c r="D5" s="16"/>
      <c r="E5" s="16"/>
      <c r="F5" s="16"/>
      <c r="G5" s="16"/>
      <c r="H5" s="16"/>
      <c r="I5" s="16"/>
    </row>
    <row r="6" customFormat="false" ht="15" hidden="false" customHeight="false" outlineLevel="0" collapsed="false">
      <c r="B6" s="16"/>
      <c r="C6" s="16"/>
      <c r="D6" s="16"/>
      <c r="E6" s="16"/>
      <c r="F6" s="16"/>
      <c r="G6" s="16"/>
      <c r="H6" s="16"/>
      <c r="I6" s="16"/>
    </row>
    <row r="7" customFormat="false" ht="15" hidden="false" customHeight="false" outlineLevel="0" collapsed="false">
      <c r="B7" s="16"/>
      <c r="C7" s="16"/>
      <c r="D7" s="16"/>
      <c r="E7" s="16"/>
      <c r="F7" s="16"/>
      <c r="G7" s="16"/>
      <c r="H7" s="16"/>
      <c r="I7" s="16"/>
    </row>
    <row r="8" customFormat="false" ht="15" hidden="false" customHeight="false" outlineLevel="0" collapsed="false">
      <c r="B8" s="16"/>
      <c r="C8" s="16"/>
      <c r="D8" s="16"/>
      <c r="E8" s="16"/>
      <c r="F8" s="16"/>
      <c r="G8" s="16"/>
      <c r="H8" s="16"/>
      <c r="I8" s="16"/>
    </row>
    <row r="9" customFormat="false" ht="15" hidden="false" customHeight="false" outlineLevel="0" collapsed="false">
      <c r="B9" s="16"/>
      <c r="C9" s="16"/>
      <c r="D9" s="16"/>
      <c r="E9" s="16"/>
      <c r="F9" s="16"/>
      <c r="G9" s="16"/>
      <c r="H9" s="16"/>
      <c r="I9" s="16"/>
    </row>
    <row r="10" customFormat="false" ht="15" hidden="false" customHeight="false" outlineLevel="0" collapsed="false">
      <c r="B10" s="16"/>
      <c r="C10" s="16"/>
      <c r="D10" s="16"/>
      <c r="E10" s="16"/>
      <c r="F10" s="16"/>
      <c r="G10" s="16"/>
      <c r="H10" s="16"/>
      <c r="I10" s="16"/>
    </row>
    <row r="11" customFormat="false" ht="15" hidden="false" customHeight="false" outlineLevel="0" collapsed="false">
      <c r="B11" s="16"/>
      <c r="C11" s="16"/>
      <c r="D11" s="16"/>
      <c r="E11" s="16"/>
      <c r="F11" s="16"/>
      <c r="G11" s="16"/>
      <c r="H11" s="16"/>
      <c r="I11" s="16"/>
    </row>
    <row r="12" customFormat="false" ht="15" hidden="false" customHeight="false" outlineLevel="0" collapsed="false">
      <c r="B12" s="16"/>
      <c r="C12" s="16"/>
      <c r="D12" s="16"/>
      <c r="E12" s="16"/>
      <c r="F12" s="16"/>
      <c r="G12" s="16"/>
      <c r="H12" s="16"/>
      <c r="I12" s="16"/>
    </row>
    <row r="13" customFormat="false" ht="15" hidden="false" customHeight="false" outlineLevel="0" collapsed="false">
      <c r="B13" s="16"/>
      <c r="C13" s="16"/>
      <c r="D13" s="16"/>
      <c r="E13" s="16"/>
      <c r="F13" s="16"/>
      <c r="G13" s="16"/>
      <c r="H13" s="16"/>
      <c r="I13" s="16"/>
    </row>
    <row r="14" customFormat="false" ht="15" hidden="false" customHeight="false" outlineLevel="0" collapsed="false">
      <c r="B14" s="16"/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B16" s="16"/>
      <c r="C16" s="16"/>
      <c r="D16" s="16"/>
      <c r="E16" s="16"/>
      <c r="F16" s="16"/>
      <c r="G16" s="16"/>
      <c r="H16" s="16"/>
      <c r="I16" s="16"/>
    </row>
    <row r="17" customFormat="false" ht="15" hidden="false" customHeight="false" outlineLevel="0" collapsed="false">
      <c r="B17" s="16"/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B18" s="16"/>
      <c r="C18" s="16"/>
      <c r="D18" s="16"/>
      <c r="E18" s="16"/>
      <c r="F18" s="16"/>
      <c r="G18" s="16"/>
      <c r="H18" s="16"/>
      <c r="I18" s="16"/>
    </row>
    <row r="19" customFormat="false" ht="15" hidden="false" customHeight="false" outlineLevel="0" collapsed="false">
      <c r="B19" s="16"/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B20" s="16"/>
      <c r="C20" s="16"/>
      <c r="D20" s="16"/>
      <c r="E20" s="16"/>
      <c r="F20" s="16"/>
      <c r="G20" s="16"/>
      <c r="H20" s="16"/>
      <c r="I20" s="16"/>
    </row>
    <row r="21" customFormat="false" ht="15" hidden="false" customHeight="false" outlineLevel="0" collapsed="false">
      <c r="B21" s="16"/>
      <c r="C21" s="16"/>
      <c r="D21" s="16"/>
      <c r="E21" s="16"/>
      <c r="F21" s="16"/>
      <c r="G21" s="16"/>
      <c r="H21" s="16"/>
      <c r="I21" s="16"/>
    </row>
    <row r="22" customFormat="false" ht="15" hidden="false" customHeight="false" outlineLevel="0" collapsed="false">
      <c r="B22" s="16"/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B23" s="16"/>
      <c r="C23" s="16"/>
      <c r="D23" s="16"/>
      <c r="E23" s="16"/>
      <c r="F23" s="16"/>
      <c r="G23" s="16"/>
      <c r="H23" s="16"/>
      <c r="I23" s="16"/>
    </row>
    <row r="24" customFormat="false" ht="15" hidden="false" customHeight="false" outlineLevel="0" collapsed="false">
      <c r="B24" s="16"/>
      <c r="C24" s="16"/>
      <c r="D24" s="16"/>
      <c r="E24" s="16"/>
      <c r="F24" s="16"/>
      <c r="G24" s="16"/>
      <c r="H24" s="16"/>
      <c r="I24" s="16"/>
    </row>
    <row r="25" customFormat="false" ht="15" hidden="false" customHeight="false" outlineLevel="0" collapsed="false">
      <c r="B25" s="16"/>
      <c r="C25" s="16"/>
      <c r="D25" s="16"/>
      <c r="E25" s="16"/>
      <c r="F25" s="16"/>
      <c r="G25" s="16"/>
      <c r="H25" s="16"/>
      <c r="I25" s="16"/>
    </row>
    <row r="26" customFormat="false" ht="15" hidden="false" customHeight="false" outlineLevel="0" collapsed="false">
      <c r="B26" s="16"/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B27" s="16"/>
      <c r="C27" s="16"/>
      <c r="D27" s="16"/>
      <c r="E27" s="16"/>
      <c r="F27" s="16"/>
      <c r="G27" s="16"/>
      <c r="H27" s="16"/>
      <c r="I27" s="16"/>
    </row>
    <row r="28" customFormat="false" ht="15" hidden="false" customHeight="false" outlineLevel="0" collapsed="false">
      <c r="B28" s="16"/>
      <c r="C28" s="16"/>
      <c r="D28" s="16"/>
      <c r="E28" s="16"/>
      <c r="F28" s="16"/>
      <c r="G28" s="16"/>
      <c r="H28" s="16"/>
      <c r="I28" s="16"/>
    </row>
    <row r="29" customFormat="false" ht="15" hidden="false" customHeight="false" outlineLevel="0" collapsed="false">
      <c r="B29" s="16"/>
      <c r="C29" s="16"/>
      <c r="D29" s="16"/>
      <c r="E29" s="16"/>
      <c r="F29" s="16"/>
      <c r="G29" s="16"/>
      <c r="H29" s="16"/>
      <c r="I29" s="16"/>
    </row>
    <row r="30" customFormat="false" ht="15" hidden="false" customHeight="false" outlineLevel="0" collapsed="false">
      <c r="B30" s="16"/>
      <c r="C30" s="16"/>
      <c r="D30" s="16"/>
      <c r="E30" s="16"/>
      <c r="F30" s="16"/>
      <c r="G30" s="16"/>
      <c r="H30" s="16"/>
      <c r="I30" s="16"/>
    </row>
    <row r="31" customFormat="false" ht="15" hidden="false" customHeight="false" outlineLevel="0" collapsed="false">
      <c r="B31" s="16"/>
      <c r="C31" s="16"/>
      <c r="D31" s="16"/>
      <c r="E31" s="16"/>
      <c r="F31" s="16"/>
      <c r="G31" s="16"/>
      <c r="H31" s="16"/>
      <c r="I31" s="16"/>
    </row>
    <row r="32" customFormat="false" ht="15" hidden="false" customHeight="false" outlineLevel="0" collapsed="false">
      <c r="B32" s="16"/>
      <c r="C32" s="16"/>
      <c r="D32" s="16"/>
      <c r="E32" s="16"/>
      <c r="F32" s="16"/>
      <c r="G32" s="16"/>
      <c r="H32" s="16"/>
      <c r="I32" s="16"/>
    </row>
    <row r="33" customFormat="false" ht="15" hidden="false" customHeight="false" outlineLevel="0" collapsed="false">
      <c r="B33" s="16"/>
      <c r="C33" s="16"/>
      <c r="D33" s="16"/>
      <c r="E33" s="16"/>
      <c r="F33" s="16"/>
      <c r="G33" s="16"/>
      <c r="H33" s="16"/>
      <c r="I33" s="16"/>
    </row>
    <row r="34" customFormat="false" ht="15" hidden="false" customHeight="false" outlineLevel="0" collapsed="false">
      <c r="B34" s="16"/>
      <c r="C34" s="16"/>
      <c r="D34" s="16"/>
      <c r="E34" s="16"/>
      <c r="F34" s="16"/>
      <c r="G34" s="16"/>
      <c r="H34" s="16"/>
      <c r="I34" s="16"/>
    </row>
    <row r="35" customFormat="false" ht="15" hidden="false" customHeight="false" outlineLevel="0" collapsed="false">
      <c r="B35" s="16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B36" s="16"/>
      <c r="C36" s="16"/>
      <c r="D36" s="16"/>
      <c r="E36" s="16"/>
      <c r="F36" s="16"/>
      <c r="G36" s="16"/>
      <c r="H36" s="16"/>
      <c r="I36" s="16"/>
    </row>
    <row r="37" customFormat="false" ht="15" hidden="false" customHeight="false" outlineLevel="0" collapsed="false">
      <c r="B37" s="16"/>
      <c r="C37" s="16"/>
      <c r="D37" s="16"/>
      <c r="E37" s="16"/>
      <c r="F37" s="16"/>
      <c r="G37" s="16"/>
      <c r="H37" s="16"/>
      <c r="I37" s="16"/>
    </row>
    <row r="38" customFormat="false" ht="15" hidden="false" customHeight="false" outlineLevel="0" collapsed="false">
      <c r="B38" s="16"/>
      <c r="C38" s="16"/>
      <c r="D38" s="16"/>
      <c r="E38" s="16"/>
      <c r="F38" s="16"/>
      <c r="G38" s="16"/>
      <c r="H38" s="16"/>
      <c r="I38" s="16"/>
    </row>
    <row r="39" customFormat="false" ht="15" hidden="false" customHeight="false" outlineLevel="0" collapsed="false">
      <c r="B39" s="16"/>
      <c r="C39" s="16"/>
      <c r="D39" s="16"/>
      <c r="E39" s="16"/>
      <c r="F39" s="16"/>
      <c r="G39" s="16"/>
      <c r="H39" s="16"/>
      <c r="I39" s="16"/>
    </row>
    <row r="40" customFormat="false" ht="15" hidden="false" customHeight="false" outlineLevel="0" collapsed="false">
      <c r="B40" s="16"/>
      <c r="C40" s="16"/>
      <c r="D40" s="16"/>
      <c r="E40" s="16"/>
      <c r="F40" s="16"/>
      <c r="G40" s="16"/>
      <c r="H40" s="16"/>
      <c r="I40" s="16"/>
    </row>
    <row r="41" customFormat="false" ht="15" hidden="false" customHeight="false" outlineLevel="0" collapsed="false">
      <c r="B41" s="16"/>
      <c r="C41" s="16"/>
      <c r="D41" s="16"/>
      <c r="E41" s="16"/>
      <c r="F41" s="16"/>
      <c r="G41" s="16"/>
      <c r="H41" s="16"/>
      <c r="I41" s="16"/>
    </row>
    <row r="42" customFormat="false" ht="15" hidden="false" customHeight="false" outlineLevel="0" collapsed="false">
      <c r="B42" s="16"/>
      <c r="C42" s="16"/>
      <c r="D42" s="16"/>
      <c r="E42" s="16"/>
      <c r="F42" s="16"/>
      <c r="G42" s="16"/>
      <c r="H42" s="16"/>
      <c r="I42" s="16"/>
    </row>
    <row r="43" customFormat="false" ht="15" hidden="false" customHeight="false" outlineLevel="0" collapsed="false">
      <c r="B43" s="16"/>
      <c r="C43" s="16"/>
      <c r="D43" s="16"/>
      <c r="E43" s="16"/>
      <c r="F43" s="16"/>
      <c r="G43" s="16"/>
      <c r="H43" s="16"/>
      <c r="I43" s="16"/>
    </row>
    <row r="44" customFormat="false" ht="15" hidden="false" customHeight="false" outlineLevel="0" collapsed="false">
      <c r="B44" s="16"/>
      <c r="C44" s="16"/>
      <c r="D44" s="16"/>
      <c r="E44" s="16"/>
      <c r="F44" s="16"/>
      <c r="G44" s="16"/>
      <c r="H44" s="16"/>
      <c r="I44" s="16"/>
    </row>
  </sheetData>
  <dataValidations count="2">
    <dataValidation allowBlank="true" errorStyle="stop" operator="between" showDropDown="false" showErrorMessage="false" showInputMessage="false" sqref="D5:D44" type="list">
      <formula1>"D1 data,D2 protocol,D3 instrument,D4 engine,D5 presentation,D6 spec"</formula1>
      <formula2>0</formula2>
    </dataValidation>
    <dataValidation allowBlank="true" errorStyle="stop" operator="between" showDropDown="false" showErrorMessage="false" showInputMessage="false" sqref="I5:I44" type="list">
      <formula1>"Open,Fixed,Accepted,Superseded"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340</v>
      </c>
    </row>
    <row r="2" customFormat="false" ht="15" hidden="false" customHeight="false" outlineLevel="0" collapsed="false">
      <c r="A2" s="2" t="s">
        <v>341</v>
      </c>
    </row>
    <row r="3" customFormat="false" ht="15" hidden="false" customHeight="false" outlineLevel="0" collapsed="false">
      <c r="A3" s="5" t="s">
        <v>115</v>
      </c>
      <c r="B3" s="5" t="s">
        <v>303</v>
      </c>
      <c r="C3" s="5" t="s">
        <v>305</v>
      </c>
      <c r="D3" s="5" t="s">
        <v>306</v>
      </c>
      <c r="E3" s="5" t="s">
        <v>307</v>
      </c>
      <c r="F3" s="5" t="s">
        <v>308</v>
      </c>
    </row>
    <row r="4" customFormat="false" ht="15" hidden="false" customHeight="false" outlineLevel="0" collapsed="false">
      <c r="A4" s="3" t="s">
        <v>342</v>
      </c>
      <c r="B4" s="3" t="str">
        <f aca="false">Scoring!$D$66</f>
        <v/>
      </c>
      <c r="C4" s="3" t="n">
        <f aca="false">Scoring!$F$66</f>
        <v>0</v>
      </c>
      <c r="D4" s="3" t="n">
        <f aca="false">Scoring!$G$66</f>
        <v>0</v>
      </c>
      <c r="E4" s="3" t="n">
        <f aca="false">Scoring!$H$66</f>
        <v>0</v>
      </c>
      <c r="F4" s="3" t="n">
        <f aca="false">Scoring!$I$66</f>
        <v>0</v>
      </c>
    </row>
    <row r="5" customFormat="false" ht="15" hidden="false" customHeight="false" outlineLevel="0" collapsed="false">
      <c r="A5" s="3" t="s">
        <v>343</v>
      </c>
      <c r="B5" s="3" t="str">
        <f aca="false">Scoring!$D$67</f>
        <v/>
      </c>
      <c r="C5" s="3" t="n">
        <f aca="false">Scoring!$F$67</f>
        <v>0</v>
      </c>
      <c r="D5" s="3" t="n">
        <f aca="false">Scoring!$G$67</f>
        <v>0</v>
      </c>
      <c r="E5" s="3" t="n">
        <f aca="false">Scoring!$H$67</f>
        <v>0</v>
      </c>
      <c r="F5" s="3" t="n">
        <f aca="false">Scoring!$I$67</f>
        <v>0</v>
      </c>
    </row>
    <row r="6" customFormat="false" ht="15" hidden="false" customHeight="false" outlineLevel="0" collapsed="false">
      <c r="A6" s="3" t="s">
        <v>344</v>
      </c>
      <c r="B6" s="3" t="str">
        <f aca="false">Scoring!$D$68</f>
        <v/>
      </c>
      <c r="C6" s="3" t="n">
        <f aca="false">Scoring!$F$68</f>
        <v>0</v>
      </c>
      <c r="D6" s="3" t="n">
        <f aca="false">Scoring!$G$68</f>
        <v>0</v>
      </c>
      <c r="E6" s="3" t="n">
        <f aca="false">Scoring!$H$68</f>
        <v>0</v>
      </c>
      <c r="F6" s="3" t="n">
        <f aca="false">Scoring!$I$68</f>
        <v>0</v>
      </c>
    </row>
    <row r="7" customFormat="false" ht="15" hidden="false" customHeight="false" outlineLevel="0" collapsed="false">
      <c r="A7" s="3" t="s">
        <v>345</v>
      </c>
      <c r="B7" s="3" t="str">
        <f aca="false">Scoring!$D$69</f>
        <v/>
      </c>
      <c r="C7" s="3" t="n">
        <f aca="false">Scoring!$F$69</f>
        <v>0</v>
      </c>
      <c r="D7" s="3" t="n">
        <f aca="false">Scoring!$G$69</f>
        <v>0</v>
      </c>
      <c r="E7" s="3" t="n">
        <f aca="false">Scoring!$H$69</f>
        <v>0</v>
      </c>
      <c r="F7" s="3" t="n">
        <f aca="false">Scoring!$I$69</f>
        <v>0</v>
      </c>
    </row>
    <row r="8" customFormat="false" ht="15" hidden="false" customHeight="false" outlineLevel="0" collapsed="false">
      <c r="A8" s="3" t="s">
        <v>346</v>
      </c>
      <c r="B8" s="3" t="str">
        <f aca="false">Scoring!$D$70</f>
        <v/>
      </c>
      <c r="C8" s="3" t="n">
        <f aca="false">Scoring!$F$70</f>
        <v>0</v>
      </c>
      <c r="D8" s="3" t="n">
        <f aca="false">Scoring!$G$70</f>
        <v>0</v>
      </c>
      <c r="E8" s="3" t="n">
        <f aca="false">Scoring!$H$70</f>
        <v>0</v>
      </c>
      <c r="F8" s="3" t="n">
        <f aca="false">Scoring!$I$70</f>
        <v>0</v>
      </c>
    </row>
    <row r="9" customFormat="false" ht="15" hidden="false" customHeight="false" outlineLevel="0" collapsed="false">
      <c r="A9" s="3" t="s">
        <v>347</v>
      </c>
      <c r="B9" s="3" t="str">
        <f aca="false">Scoring!$D$71</f>
        <v/>
      </c>
      <c r="C9" s="3" t="n">
        <f aca="false">Scoring!$F$71</f>
        <v>0</v>
      </c>
      <c r="D9" s="3" t="n">
        <f aca="false">Scoring!$G$71</f>
        <v>0</v>
      </c>
      <c r="E9" s="3" t="n">
        <f aca="false">Scoring!$H$71</f>
        <v>0</v>
      </c>
      <c r="F9" s="3" t="n">
        <f aca="false">Scoring!$I$71</f>
        <v>0</v>
      </c>
    </row>
    <row r="10" customFormat="false" ht="15" hidden="false" customHeight="false" outlineLevel="0" collapsed="false">
      <c r="A10" s="3" t="s">
        <v>348</v>
      </c>
      <c r="B10" s="3" t="str">
        <f aca="false">Scoring!$D$72</f>
        <v/>
      </c>
      <c r="C10" s="3" t="n">
        <f aca="false">Scoring!$F$72</f>
        <v>0</v>
      </c>
      <c r="D10" s="3" t="n">
        <f aca="false">Scoring!$G$72</f>
        <v>0</v>
      </c>
      <c r="E10" s="3" t="n">
        <f aca="false">Scoring!$H$72</f>
        <v>0</v>
      </c>
      <c r="F10" s="3" t="n">
        <f aca="false">Scoring!$I$72</f>
        <v>0</v>
      </c>
    </row>
    <row r="12" customFormat="false" ht="15" hidden="false" customHeight="false" outlineLevel="0" collapsed="false">
      <c r="A12" s="5" t="s">
        <v>116</v>
      </c>
      <c r="B12" s="5" t="s">
        <v>303</v>
      </c>
    </row>
    <row r="13" customFormat="false" ht="15" hidden="false" customHeight="false" outlineLevel="0" collapsed="false">
      <c r="A13" s="3" t="s">
        <v>141</v>
      </c>
      <c r="B13" s="3" t="str">
        <f aca="false">Scoring!$B$76</f>
        <v/>
      </c>
    </row>
    <row r="14" customFormat="false" ht="15" hidden="false" customHeight="false" outlineLevel="0" collapsed="false">
      <c r="A14" s="3" t="s">
        <v>186</v>
      </c>
      <c r="B14" s="3" t="str">
        <f aca="false">Scoring!$B$77</f>
        <v/>
      </c>
    </row>
    <row r="15" customFormat="false" ht="15" hidden="false" customHeight="false" outlineLevel="0" collapsed="false">
      <c r="A15" s="3" t="s">
        <v>256</v>
      </c>
      <c r="B15" s="3" t="str">
        <f aca="false">Scoring!$B$78</f>
        <v/>
      </c>
    </row>
    <row r="16" customFormat="false" ht="15" hidden="false" customHeight="false" outlineLevel="0" collapsed="false">
      <c r="A16" s="3" t="s">
        <v>283</v>
      </c>
      <c r="B16" s="3" t="str">
        <f aca="false">Scoring!$B$79</f>
        <v/>
      </c>
    </row>
    <row r="18" customFormat="false" ht="15" hidden="false" customHeight="false" outlineLevel="0" collapsed="false">
      <c r="A18" s="5" t="s">
        <v>69</v>
      </c>
      <c r="B18" s="5" t="s">
        <v>349</v>
      </c>
    </row>
    <row r="19" customFormat="false" ht="15" hidden="false" customHeight="false" outlineLevel="0" collapsed="false">
      <c r="A19" s="3" t="s">
        <v>350</v>
      </c>
      <c r="B19" s="3" t="n">
        <f aca="false">COUNTIF(Scoring!$T$5:$T$61,1)</f>
        <v>0</v>
      </c>
    </row>
    <row r="20" customFormat="false" ht="15" hidden="false" customHeight="false" outlineLevel="0" collapsed="false">
      <c r="A20" s="3" t="s">
        <v>351</v>
      </c>
      <c r="B20" s="3" t="n">
        <f aca="false">COUNTIF(Scoring!$T$5:$T$61,2)</f>
        <v>0</v>
      </c>
    </row>
    <row r="21" customFormat="false" ht="15" hidden="false" customHeight="false" outlineLevel="0" collapsed="false">
      <c r="A21" s="3" t="s">
        <v>352</v>
      </c>
      <c r="B21" s="3" t="n">
        <f aca="false">COUNTIF(Scoring!$T$5:$T$61,3)</f>
        <v>0</v>
      </c>
    </row>
    <row r="22" customFormat="false" ht="15" hidden="false" customHeight="false" outlineLevel="0" collapsed="false">
      <c r="A22" s="3" t="s">
        <v>353</v>
      </c>
      <c r="B22" s="3" t="n">
        <f aca="false">COUNTIF(Scoring!$T$5:$T$61,4)</f>
        <v>0</v>
      </c>
    </row>
    <row r="23" customFormat="false" ht="15" hidden="false" customHeight="false" outlineLevel="0" collapsed="false">
      <c r="A23" s="3" t="s">
        <v>354</v>
      </c>
      <c r="B23" s="3" t="n">
        <f aca="false">COUNTIF(Scoring!$T$5:$T$61,5)</f>
        <v>0</v>
      </c>
    </row>
    <row r="25" customFormat="false" ht="15" hidden="false" customHeight="false" outlineLevel="0" collapsed="false">
      <c r="A25" s="5" t="s">
        <v>127</v>
      </c>
      <c r="B25" s="5" t="s">
        <v>355</v>
      </c>
    </row>
    <row r="26" customFormat="false" ht="15" hidden="false" customHeight="false" outlineLevel="0" collapsed="false">
      <c r="A26" s="3" t="s">
        <v>356</v>
      </c>
      <c r="B26" s="3" t="n">
        <f aca="false">SUMPRODUCT((Scoring!$Q$5:$Q$61=2010)*(Scoring!$S$5:$S$61&lt;&gt;"Gap"))</f>
        <v>0</v>
      </c>
    </row>
    <row r="27" customFormat="false" ht="15" hidden="false" customHeight="false" outlineLevel="0" collapsed="false">
      <c r="A27" s="3" t="s">
        <v>357</v>
      </c>
      <c r="B27" s="3" t="n">
        <f aca="false">SUMPRODUCT((Scoring!$Q$5:$Q$61=2011)*(Scoring!$S$5:$S$61&lt;&gt;"Gap"))</f>
        <v>0</v>
      </c>
    </row>
    <row r="28" customFormat="false" ht="15" hidden="false" customHeight="false" outlineLevel="0" collapsed="false">
      <c r="A28" s="3" t="s">
        <v>358</v>
      </c>
      <c r="B28" s="3" t="n">
        <f aca="false">SUMPRODUCT((Scoring!$Q$5:$Q$61=2012)*(Scoring!$S$5:$S$61&lt;&gt;"Gap"))</f>
        <v>0</v>
      </c>
    </row>
    <row r="29" customFormat="false" ht="15" hidden="false" customHeight="false" outlineLevel="0" collapsed="false">
      <c r="A29" s="3" t="s">
        <v>359</v>
      </c>
      <c r="B29" s="3" t="n">
        <f aca="false">SUMPRODUCT((Scoring!$Q$5:$Q$61=2013)*(Scoring!$S$5:$S$61&lt;&gt;"Gap"))</f>
        <v>0</v>
      </c>
    </row>
    <row r="30" customFormat="false" ht="15" hidden="false" customHeight="false" outlineLevel="0" collapsed="false">
      <c r="A30" s="3" t="s">
        <v>360</v>
      </c>
      <c r="B30" s="3" t="n">
        <f aca="false">SUMPRODUCT((Scoring!$Q$5:$Q$61=2014)*(Scoring!$S$5:$S$61&lt;&gt;"Gap"))</f>
        <v>0</v>
      </c>
    </row>
    <row r="31" customFormat="false" ht="15" hidden="false" customHeight="false" outlineLevel="0" collapsed="false">
      <c r="A31" s="3" t="s">
        <v>361</v>
      </c>
      <c r="B31" s="3" t="n">
        <f aca="false">SUMPRODUCT((Scoring!$Q$5:$Q$61=2015)*(Scoring!$S$5:$S$61&lt;&gt;"Gap"))</f>
        <v>0</v>
      </c>
    </row>
    <row r="32" customFormat="false" ht="15" hidden="false" customHeight="false" outlineLevel="0" collapsed="false">
      <c r="A32" s="3" t="s">
        <v>362</v>
      </c>
      <c r="B32" s="3" t="n">
        <f aca="false">SUMPRODUCT((Scoring!$Q$5:$Q$61=2016)*(Scoring!$S$5:$S$61&lt;&gt;"Gap"))</f>
        <v>0</v>
      </c>
    </row>
    <row r="33" customFormat="false" ht="15" hidden="false" customHeight="false" outlineLevel="0" collapsed="false">
      <c r="A33" s="3" t="s">
        <v>363</v>
      </c>
      <c r="B33" s="3" t="n">
        <f aca="false">SUMPRODUCT((Scoring!$Q$5:$Q$61=2017)*(Scoring!$S$5:$S$61&lt;&gt;"Gap"))</f>
        <v>0</v>
      </c>
    </row>
    <row r="34" customFormat="false" ht="15" hidden="false" customHeight="false" outlineLevel="0" collapsed="false">
      <c r="A34" s="3" t="s">
        <v>364</v>
      </c>
      <c r="B34" s="3" t="n">
        <f aca="false">SUMPRODUCT((Scoring!$Q$5:$Q$61=2018)*(Scoring!$S$5:$S$61&lt;&gt;"Gap"))</f>
        <v>0</v>
      </c>
    </row>
    <row r="35" customFormat="false" ht="15" hidden="false" customHeight="false" outlineLevel="0" collapsed="false">
      <c r="A35" s="3" t="s">
        <v>365</v>
      </c>
      <c r="B35" s="3" t="n">
        <f aca="false">SUMPRODUCT((Scoring!$Q$5:$Q$61=2019)*(Scoring!$S$5:$S$61&lt;&gt;"Gap"))</f>
        <v>0</v>
      </c>
    </row>
    <row r="36" customFormat="false" ht="15" hidden="false" customHeight="false" outlineLevel="0" collapsed="false">
      <c r="A36" s="3" t="s">
        <v>366</v>
      </c>
      <c r="B36" s="3" t="n">
        <f aca="false">SUMPRODUCT((Scoring!$Q$5:$Q$61=2020)*(Scoring!$S$5:$S$61&lt;&gt;"Gap"))</f>
        <v>0</v>
      </c>
    </row>
    <row r="37" customFormat="false" ht="15" hidden="false" customHeight="false" outlineLevel="0" collapsed="false">
      <c r="A37" s="3" t="s">
        <v>367</v>
      </c>
      <c r="B37" s="3" t="n">
        <f aca="false">SUMPRODUCT((Scoring!$Q$5:$Q$61=2021)*(Scoring!$S$5:$S$61&lt;&gt;"Gap"))</f>
        <v>0</v>
      </c>
    </row>
    <row r="38" customFormat="false" ht="15" hidden="false" customHeight="false" outlineLevel="0" collapsed="false">
      <c r="A38" s="3" t="s">
        <v>368</v>
      </c>
      <c r="B38" s="3" t="n">
        <f aca="false">SUMPRODUCT((Scoring!$Q$5:$Q$61=2022)*(Scoring!$S$5:$S$61&lt;&gt;"Gap"))</f>
        <v>0</v>
      </c>
    </row>
    <row r="39" customFormat="false" ht="15" hidden="false" customHeight="false" outlineLevel="0" collapsed="false">
      <c r="A39" s="3" t="s">
        <v>369</v>
      </c>
      <c r="B39" s="3" t="n">
        <f aca="false">SUMPRODUCT((Scoring!$Q$5:$Q$61=2023)*(Scoring!$S$5:$S$61&lt;&gt;"Gap"))</f>
        <v>0</v>
      </c>
    </row>
    <row r="40" customFormat="false" ht="15" hidden="false" customHeight="false" outlineLevel="0" collapsed="false">
      <c r="A40" s="3" t="s">
        <v>370</v>
      </c>
      <c r="B40" s="3" t="n">
        <f aca="false">SUMPRODUCT((Scoring!$Q$5:$Q$61=2024)*(Scoring!$S$5:$S$61&lt;&gt;"Gap"))</f>
        <v>0</v>
      </c>
    </row>
    <row r="41" customFormat="false" ht="15" hidden="false" customHeight="false" outlineLevel="0" collapsed="false">
      <c r="A41" s="3" t="s">
        <v>371</v>
      </c>
      <c r="B41" s="3" t="n">
        <f aca="false">SUMPRODUCT((Scoring!$Q$5:$Q$61=2025)*(Scoring!$S$5:$S$61&lt;&gt;"Gap"))</f>
        <v>0</v>
      </c>
    </row>
    <row r="42" customFormat="false" ht="15" hidden="false" customHeight="false" outlineLevel="0" collapsed="false">
      <c r="A42" s="3" t="s">
        <v>372</v>
      </c>
      <c r="B42" s="3" t="n">
        <f aca="false">SUMPRODUCT((Scoring!$Q$5:$Q$61=2026)*(Scoring!$S$5:$S$61&lt;&gt;"Gap"))</f>
        <v>0</v>
      </c>
    </row>
    <row r="44" customFormat="false" ht="15" hidden="false" customHeight="false" outlineLevel="0" collapsed="false">
      <c r="A44" s="2" t="s">
        <v>373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2026-08-22T22:33:11Z</dcterms:created>
  <dc:creator>openpyxl</dc:creator>
  <dc:description/>
  <dc:language>en-US</dc:language>
  <cp:lastModifiedBy/>
  <dcterms:modified xsi:type="dcterms:W3CDTF">2026-08-23T05:33:18Z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