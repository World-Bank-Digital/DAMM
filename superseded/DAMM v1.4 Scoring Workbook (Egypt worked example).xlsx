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andeepsudan/pCloud Drive/02 World Bank/Projects/DAR/DAMM/"/>
    </mc:Choice>
  </mc:AlternateContent>
  <xr:revisionPtr revIDLastSave="0" documentId="8_{FFE05C17-A338-F846-BF4F-8F71894CAAB3}" xr6:coauthVersionLast="47" xr6:coauthVersionMax="47" xr10:uidLastSave="{00000000-0000-0000-0000-000000000000}"/>
  <bookViews>
    <workbookView xWindow="0" yWindow="600" windowWidth="30240" windowHeight="17100" tabRatio="500" activeTab="2" xr2:uid="{00000000-000D-0000-FFFF-FFFF00000000}"/>
  </bookViews>
  <sheets>
    <sheet name="Read Me" sheetId="1" r:id="rId1"/>
    <sheet name="Scores" sheetId="2" r:id="rId2"/>
    <sheet name="Egypt (worked)" sheetId="3" r:id="rId3"/>
    <sheet name="Blank Template" sheetId="4" r:id="rId4"/>
    <sheet name="Indicators" sheetId="5" r:id="rId5"/>
    <sheet name="Level Anchors" sheetId="6" r:id="rId6"/>
    <sheet name="Core Gates" sheetId="7" r:id="rId7"/>
    <sheet name="Config" sheetId="8" r:id="rId8"/>
    <sheet name="Methodology" sheetId="9" r:id="rId9"/>
    <sheet name="Decision Ladder" sheetId="10" r:id="rId10"/>
    <sheet name="Glossary" sheetId="11" r:id="rId11"/>
    <sheet name="Changelog" sheetId="12" r:id="rId12"/>
  </sheets>
  <definedNames>
    <definedName name="_xlnm._FilterDatabase" localSheetId="3" hidden="1">'Blank Template'!$B$7:$R$109</definedName>
    <definedName name="_xlnm._FilterDatabase" localSheetId="2" hidden="1">'Egypt (worked)'!$B$7:$R$109</definedName>
    <definedName name="_xlnm._FilterDatabase" localSheetId="4" hidden="1">Indicators!$B$5:$P$107</definedName>
    <definedName name="BandL1_from">Config!$D$7</definedName>
    <definedName name="BandL2_from">Config!$D$8</definedName>
    <definedName name="BandL3_from">Config!$D$9</definedName>
    <definedName name="BandL4_from">Config!$D$10</definedName>
    <definedName name="BandL5_from">Config!$D$11</definedName>
    <definedName name="BandL5_to">Config!$E$11</definedName>
    <definedName name="Conf_High">Config!$C$47</definedName>
    <definedName name="Conf_Low">Config!$C$49</definedName>
    <definedName name="Conf_Medium">Config!$C$48</definedName>
    <definedName name="Cov_CMS">Config!$C$18</definedName>
    <definedName name="Cov_EMS">Config!$C$19</definedName>
    <definedName name="Cov_Pillar">Config!$C$17</definedName>
    <definedName name="Ev_Min">Config!$C$20</definedName>
    <definedName name="Leapfrog_Gap">Config!$C$30</definedName>
    <definedName name="Pillars">Config!$B$34:$B$41</definedName>
    <definedName name="Roles">Config!$C$34:$C$41</definedName>
    <definedName name="Stage2_CMS">Config!$C$21</definedName>
    <definedName name="Stage3_CMS">Config!$C$22</definedName>
    <definedName name="Stage3_EMS">Config!$C$23</definedName>
    <definedName name="Stage4_CMS">Config!$C$24</definedName>
    <definedName name="Stage4_EMS">Config!$C$25</definedName>
    <definedName name="Stage4_OES">Config!$C$26</definedName>
    <definedName name="Stage5_CMS">Config!$C$27</definedName>
    <definedName name="Stage5_EMS">Config!$C$28</definedName>
    <definedName name="Stage5_OES">Config!$C$29</definedName>
    <definedName name="Weights">Config!$D$34:$D$41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4" i="8" l="1"/>
  <c r="D43" i="8"/>
  <c r="D42" i="8"/>
  <c r="O109" i="4"/>
  <c r="J109" i="4"/>
  <c r="L109" i="4" s="1"/>
  <c r="O108" i="4"/>
  <c r="L108" i="4"/>
  <c r="J108" i="4"/>
  <c r="O107" i="4"/>
  <c r="J107" i="4"/>
  <c r="L107" i="4" s="1"/>
  <c r="O106" i="4"/>
  <c r="J106" i="4"/>
  <c r="L106" i="4" s="1"/>
  <c r="O105" i="4"/>
  <c r="J105" i="4"/>
  <c r="L105" i="4" s="1"/>
  <c r="O104" i="4"/>
  <c r="J104" i="4"/>
  <c r="L104" i="4" s="1"/>
  <c r="O103" i="4"/>
  <c r="J103" i="4"/>
  <c r="L103" i="4" s="1"/>
  <c r="O102" i="4"/>
  <c r="J102" i="4"/>
  <c r="L102" i="4" s="1"/>
  <c r="O101" i="4"/>
  <c r="J101" i="4"/>
  <c r="L101" i="4" s="1"/>
  <c r="O100" i="4"/>
  <c r="J100" i="4"/>
  <c r="L100" i="4" s="1"/>
  <c r="O99" i="4"/>
  <c r="J99" i="4"/>
  <c r="L99" i="4" s="1"/>
  <c r="O98" i="4"/>
  <c r="J98" i="4"/>
  <c r="L98" i="4" s="1"/>
  <c r="O97" i="4"/>
  <c r="J97" i="4"/>
  <c r="L97" i="4" s="1"/>
  <c r="O96" i="4"/>
  <c r="J96" i="4"/>
  <c r="L96" i="4" s="1"/>
  <c r="O95" i="4"/>
  <c r="J95" i="4"/>
  <c r="L95" i="4" s="1"/>
  <c r="O94" i="4"/>
  <c r="J94" i="4"/>
  <c r="L94" i="4" s="1"/>
  <c r="O93" i="4"/>
  <c r="J93" i="4"/>
  <c r="L93" i="4" s="1"/>
  <c r="O92" i="4"/>
  <c r="J92" i="4"/>
  <c r="L92" i="4" s="1"/>
  <c r="O91" i="4"/>
  <c r="J91" i="4"/>
  <c r="L91" i="4" s="1"/>
  <c r="O90" i="4"/>
  <c r="J90" i="4"/>
  <c r="L90" i="4" s="1"/>
  <c r="O89" i="4"/>
  <c r="J89" i="4"/>
  <c r="L89" i="4" s="1"/>
  <c r="O88" i="4"/>
  <c r="J88" i="4"/>
  <c r="L88" i="4" s="1"/>
  <c r="O87" i="4"/>
  <c r="L87" i="4"/>
  <c r="J87" i="4"/>
  <c r="O86" i="4"/>
  <c r="J86" i="4"/>
  <c r="L86" i="4" s="1"/>
  <c r="O85" i="4"/>
  <c r="J85" i="4"/>
  <c r="L85" i="4" s="1"/>
  <c r="O84" i="4"/>
  <c r="J84" i="4"/>
  <c r="L84" i="4" s="1"/>
  <c r="O83" i="4"/>
  <c r="J83" i="4"/>
  <c r="L83" i="4" s="1"/>
  <c r="O82" i="4"/>
  <c r="J82" i="4"/>
  <c r="L82" i="4" s="1"/>
  <c r="O81" i="4"/>
  <c r="J81" i="4"/>
  <c r="L81" i="4" s="1"/>
  <c r="O80" i="4"/>
  <c r="J80" i="4"/>
  <c r="L80" i="4" s="1"/>
  <c r="O79" i="4"/>
  <c r="J79" i="4"/>
  <c r="L79" i="4" s="1"/>
  <c r="O78" i="4"/>
  <c r="J78" i="4"/>
  <c r="L78" i="4" s="1"/>
  <c r="O77" i="4"/>
  <c r="J77" i="4"/>
  <c r="L77" i="4" s="1"/>
  <c r="O76" i="4"/>
  <c r="J76" i="4"/>
  <c r="L76" i="4" s="1"/>
  <c r="O75" i="4"/>
  <c r="J75" i="4"/>
  <c r="L75" i="4" s="1"/>
  <c r="O74" i="4"/>
  <c r="J74" i="4"/>
  <c r="L74" i="4" s="1"/>
  <c r="O73" i="4"/>
  <c r="J73" i="4"/>
  <c r="L73" i="4" s="1"/>
  <c r="O72" i="4"/>
  <c r="J72" i="4"/>
  <c r="L72" i="4" s="1"/>
  <c r="O71" i="4"/>
  <c r="J71" i="4"/>
  <c r="L71" i="4" s="1"/>
  <c r="O70" i="4"/>
  <c r="J70" i="4"/>
  <c r="L70" i="4" s="1"/>
  <c r="O69" i="4"/>
  <c r="J69" i="4"/>
  <c r="L69" i="4" s="1"/>
  <c r="O68" i="4"/>
  <c r="J68" i="4"/>
  <c r="L68" i="4" s="1"/>
  <c r="O67" i="4"/>
  <c r="J67" i="4"/>
  <c r="L67" i="4" s="1"/>
  <c r="O66" i="4"/>
  <c r="J66" i="4"/>
  <c r="L66" i="4" s="1"/>
  <c r="O65" i="4"/>
  <c r="J65" i="4"/>
  <c r="L65" i="4" s="1"/>
  <c r="O64" i="4"/>
  <c r="J64" i="4"/>
  <c r="L64" i="4" s="1"/>
  <c r="O63" i="4"/>
  <c r="J63" i="4"/>
  <c r="L63" i="4" s="1"/>
  <c r="O62" i="4"/>
  <c r="J62" i="4"/>
  <c r="L62" i="4" s="1"/>
  <c r="O61" i="4"/>
  <c r="J61" i="4"/>
  <c r="L61" i="4" s="1"/>
  <c r="O60" i="4"/>
  <c r="J60" i="4"/>
  <c r="L60" i="4" s="1"/>
  <c r="O59" i="4"/>
  <c r="J59" i="4"/>
  <c r="L59" i="4" s="1"/>
  <c r="O58" i="4"/>
  <c r="J58" i="4"/>
  <c r="L58" i="4" s="1"/>
  <c r="O57" i="4"/>
  <c r="J57" i="4"/>
  <c r="L57" i="4" s="1"/>
  <c r="O56" i="4"/>
  <c r="J56" i="4"/>
  <c r="L56" i="4" s="1"/>
  <c r="O55" i="4"/>
  <c r="J55" i="4"/>
  <c r="L55" i="4" s="1"/>
  <c r="O54" i="4"/>
  <c r="J54" i="4"/>
  <c r="L54" i="4" s="1"/>
  <c r="O53" i="4"/>
  <c r="J53" i="4"/>
  <c r="L53" i="4" s="1"/>
  <c r="O52" i="4"/>
  <c r="J52" i="4"/>
  <c r="L52" i="4" s="1"/>
  <c r="O51" i="4"/>
  <c r="J51" i="4"/>
  <c r="L51" i="4" s="1"/>
  <c r="O50" i="4"/>
  <c r="J50" i="4"/>
  <c r="L50" i="4" s="1"/>
  <c r="O49" i="4"/>
  <c r="J49" i="4"/>
  <c r="L49" i="4" s="1"/>
  <c r="O48" i="4"/>
  <c r="J48" i="4"/>
  <c r="L48" i="4" s="1"/>
  <c r="O47" i="4"/>
  <c r="J47" i="4"/>
  <c r="L47" i="4" s="1"/>
  <c r="O46" i="4"/>
  <c r="J46" i="4"/>
  <c r="L46" i="4" s="1"/>
  <c r="O45" i="4"/>
  <c r="J45" i="4"/>
  <c r="L45" i="4" s="1"/>
  <c r="O44" i="4"/>
  <c r="J44" i="4"/>
  <c r="L44" i="4" s="1"/>
  <c r="O43" i="4"/>
  <c r="J43" i="4"/>
  <c r="L43" i="4" s="1"/>
  <c r="O42" i="4"/>
  <c r="J42" i="4"/>
  <c r="L42" i="4" s="1"/>
  <c r="O41" i="4"/>
  <c r="J41" i="4"/>
  <c r="L41" i="4" s="1"/>
  <c r="O40" i="4"/>
  <c r="J40" i="4"/>
  <c r="L40" i="4" s="1"/>
  <c r="O39" i="4"/>
  <c r="J39" i="4"/>
  <c r="L39" i="4" s="1"/>
  <c r="O38" i="4"/>
  <c r="J38" i="4"/>
  <c r="L38" i="4" s="1"/>
  <c r="O37" i="4"/>
  <c r="J37" i="4"/>
  <c r="L37" i="4" s="1"/>
  <c r="O36" i="4"/>
  <c r="J36" i="4"/>
  <c r="L36" i="4" s="1"/>
  <c r="O35" i="4"/>
  <c r="J35" i="4"/>
  <c r="L35" i="4" s="1"/>
  <c r="O34" i="4"/>
  <c r="J34" i="4"/>
  <c r="L34" i="4" s="1"/>
  <c r="O33" i="4"/>
  <c r="J33" i="4"/>
  <c r="L33" i="4" s="1"/>
  <c r="O32" i="4"/>
  <c r="J32" i="4"/>
  <c r="L32" i="4" s="1"/>
  <c r="O31" i="4"/>
  <c r="J31" i="4"/>
  <c r="L31" i="4" s="1"/>
  <c r="O30" i="4"/>
  <c r="J30" i="4"/>
  <c r="L30" i="4" s="1"/>
  <c r="O29" i="4"/>
  <c r="J29" i="4"/>
  <c r="L29" i="4" s="1"/>
  <c r="O28" i="4"/>
  <c r="J28" i="4"/>
  <c r="L28" i="4" s="1"/>
  <c r="O27" i="4"/>
  <c r="J27" i="4"/>
  <c r="L27" i="4" s="1"/>
  <c r="O26" i="4"/>
  <c r="J26" i="4"/>
  <c r="L26" i="4" s="1"/>
  <c r="O25" i="4"/>
  <c r="J25" i="4"/>
  <c r="L25" i="4" s="1"/>
  <c r="O24" i="4"/>
  <c r="J24" i="4"/>
  <c r="L24" i="4" s="1"/>
  <c r="O23" i="4"/>
  <c r="J23" i="4"/>
  <c r="L23" i="4" s="1"/>
  <c r="O22" i="4"/>
  <c r="J22" i="4"/>
  <c r="L22" i="4" s="1"/>
  <c r="O21" i="4"/>
  <c r="J21" i="4"/>
  <c r="L21" i="4" s="1"/>
  <c r="O20" i="4"/>
  <c r="J20" i="4"/>
  <c r="L20" i="4" s="1"/>
  <c r="O19" i="4"/>
  <c r="L19" i="4"/>
  <c r="J19" i="4"/>
  <c r="O18" i="4"/>
  <c r="J18" i="4"/>
  <c r="L18" i="4" s="1"/>
  <c r="O17" i="4"/>
  <c r="J17" i="4"/>
  <c r="L17" i="4" s="1"/>
  <c r="O16" i="4"/>
  <c r="L16" i="4"/>
  <c r="J16" i="4"/>
  <c r="O15" i="4"/>
  <c r="L15" i="4"/>
  <c r="J15" i="4"/>
  <c r="O14" i="4"/>
  <c r="L14" i="4"/>
  <c r="J14" i="4"/>
  <c r="O13" i="4"/>
  <c r="L13" i="4"/>
  <c r="J13" i="4"/>
  <c r="O12" i="4"/>
  <c r="L12" i="4"/>
  <c r="J12" i="4"/>
  <c r="O11" i="4"/>
  <c r="L11" i="4"/>
  <c r="J11" i="4"/>
  <c r="O10" i="4"/>
  <c r="L10" i="4"/>
  <c r="J10" i="4"/>
  <c r="O9" i="4"/>
  <c r="L9" i="4"/>
  <c r="J9" i="4"/>
  <c r="O8" i="4"/>
  <c r="L8" i="4"/>
  <c r="J8" i="4"/>
  <c r="O109" i="3"/>
  <c r="L109" i="3"/>
  <c r="J109" i="3"/>
  <c r="O108" i="3"/>
  <c r="L108" i="3"/>
  <c r="J108" i="3"/>
  <c r="O107" i="3"/>
  <c r="L107" i="3"/>
  <c r="J107" i="3"/>
  <c r="O106" i="3"/>
  <c r="L106" i="3"/>
  <c r="J106" i="3"/>
  <c r="O105" i="3"/>
  <c r="L105" i="3"/>
  <c r="J105" i="3"/>
  <c r="O104" i="3"/>
  <c r="L104" i="3"/>
  <c r="J104" i="3"/>
  <c r="O103" i="3"/>
  <c r="J103" i="3"/>
  <c r="L103" i="3" s="1"/>
  <c r="O102" i="3"/>
  <c r="L102" i="3"/>
  <c r="J102" i="3"/>
  <c r="O101" i="3"/>
  <c r="L101" i="3"/>
  <c r="J101" i="3"/>
  <c r="O100" i="3"/>
  <c r="L100" i="3"/>
  <c r="J100" i="3"/>
  <c r="O99" i="3"/>
  <c r="L99" i="3"/>
  <c r="J99" i="3"/>
  <c r="O98" i="3"/>
  <c r="J98" i="3"/>
  <c r="L98" i="3" s="1"/>
  <c r="O97" i="3"/>
  <c r="J97" i="3"/>
  <c r="L97" i="3" s="1"/>
  <c r="O96" i="3"/>
  <c r="J96" i="3"/>
  <c r="L96" i="3" s="1"/>
  <c r="O95" i="3"/>
  <c r="J95" i="3"/>
  <c r="L95" i="3" s="1"/>
  <c r="O94" i="3"/>
  <c r="J94" i="3"/>
  <c r="L94" i="3" s="1"/>
  <c r="O93" i="3"/>
  <c r="J93" i="3"/>
  <c r="L93" i="3" s="1"/>
  <c r="O92" i="3"/>
  <c r="L92" i="3"/>
  <c r="J92" i="3"/>
  <c r="O91" i="3"/>
  <c r="L91" i="3"/>
  <c r="J91" i="3"/>
  <c r="O90" i="3"/>
  <c r="L90" i="3"/>
  <c r="J90" i="3"/>
  <c r="O89" i="3"/>
  <c r="L89" i="3"/>
  <c r="J89" i="3"/>
  <c r="O88" i="3"/>
  <c r="L88" i="3"/>
  <c r="J88" i="3"/>
  <c r="O87" i="3"/>
  <c r="L87" i="3"/>
  <c r="J87" i="3"/>
  <c r="O86" i="3"/>
  <c r="L86" i="3"/>
  <c r="J86" i="3"/>
  <c r="O85" i="3"/>
  <c r="L85" i="3"/>
  <c r="J85" i="3"/>
  <c r="O84" i="3"/>
  <c r="L84" i="3"/>
  <c r="J84" i="3"/>
  <c r="O83" i="3"/>
  <c r="J83" i="3"/>
  <c r="L83" i="3" s="1"/>
  <c r="O82" i="3"/>
  <c r="L82" i="3"/>
  <c r="J82" i="3"/>
  <c r="O81" i="3"/>
  <c r="J81" i="3"/>
  <c r="L81" i="3" s="1"/>
  <c r="O80" i="3"/>
  <c r="L80" i="3"/>
  <c r="J80" i="3"/>
  <c r="O79" i="3"/>
  <c r="L79" i="3"/>
  <c r="J79" i="3"/>
  <c r="O78" i="3"/>
  <c r="L78" i="3"/>
  <c r="J78" i="3"/>
  <c r="O77" i="3"/>
  <c r="L77" i="3"/>
  <c r="J77" i="3"/>
  <c r="O76" i="3"/>
  <c r="L76" i="3"/>
  <c r="J76" i="3"/>
  <c r="O75" i="3"/>
  <c r="L75" i="3"/>
  <c r="J75" i="3"/>
  <c r="O74" i="3"/>
  <c r="L74" i="3"/>
  <c r="J74" i="3"/>
  <c r="O73" i="3"/>
  <c r="L73" i="3"/>
  <c r="J73" i="3"/>
  <c r="O72" i="3"/>
  <c r="L72" i="3"/>
  <c r="J72" i="3"/>
  <c r="O71" i="3"/>
  <c r="J71" i="3"/>
  <c r="L71" i="3" s="1"/>
  <c r="O70" i="3"/>
  <c r="L70" i="3"/>
  <c r="J70" i="3"/>
  <c r="O69" i="3"/>
  <c r="L69" i="3"/>
  <c r="J69" i="3"/>
  <c r="O68" i="3"/>
  <c r="J68" i="3"/>
  <c r="L68" i="3" s="1"/>
  <c r="O67" i="3"/>
  <c r="J67" i="3"/>
  <c r="L67" i="3" s="1"/>
  <c r="O66" i="3"/>
  <c r="J66" i="3"/>
  <c r="L66" i="3" s="1"/>
  <c r="O65" i="3"/>
  <c r="J65" i="3"/>
  <c r="L65" i="3" s="1"/>
  <c r="O64" i="3"/>
  <c r="L64" i="3"/>
  <c r="J64" i="3"/>
  <c r="O63" i="3"/>
  <c r="J63" i="3"/>
  <c r="L63" i="3" s="1"/>
  <c r="O62" i="3"/>
  <c r="L62" i="3"/>
  <c r="J62" i="3"/>
  <c r="O61" i="3"/>
  <c r="L61" i="3"/>
  <c r="J61" i="3"/>
  <c r="O60" i="3"/>
  <c r="L60" i="3"/>
  <c r="J60" i="3"/>
  <c r="O59" i="3"/>
  <c r="J59" i="3"/>
  <c r="L59" i="3" s="1"/>
  <c r="O58" i="3"/>
  <c r="L58" i="3"/>
  <c r="J58" i="3"/>
  <c r="O57" i="3"/>
  <c r="J57" i="3"/>
  <c r="L57" i="3" s="1"/>
  <c r="O56" i="3"/>
  <c r="J56" i="3"/>
  <c r="L56" i="3" s="1"/>
  <c r="O55" i="3"/>
  <c r="J55" i="3"/>
  <c r="L55" i="3" s="1"/>
  <c r="O54" i="3"/>
  <c r="J54" i="3"/>
  <c r="L54" i="3" s="1"/>
  <c r="O53" i="3"/>
  <c r="L53" i="3"/>
  <c r="J53" i="3"/>
  <c r="O52" i="3"/>
  <c r="L52" i="3"/>
  <c r="J52" i="3"/>
  <c r="O51" i="3"/>
  <c r="L51" i="3"/>
  <c r="J51" i="3"/>
  <c r="O50" i="3"/>
  <c r="L50" i="3"/>
  <c r="J50" i="3"/>
  <c r="O49" i="3"/>
  <c r="L49" i="3"/>
  <c r="J49" i="3"/>
  <c r="O48" i="3"/>
  <c r="L48" i="3"/>
  <c r="J48" i="3"/>
  <c r="O47" i="3"/>
  <c r="J47" i="3"/>
  <c r="L47" i="3" s="1"/>
  <c r="O46" i="3"/>
  <c r="L46" i="3"/>
  <c r="J46" i="3"/>
  <c r="O45" i="3"/>
  <c r="L45" i="3"/>
  <c r="J45" i="3"/>
  <c r="O44" i="3"/>
  <c r="L44" i="3"/>
  <c r="J44" i="3"/>
  <c r="O43" i="3"/>
  <c r="J43" i="3"/>
  <c r="L43" i="3" s="1"/>
  <c r="O42" i="3"/>
  <c r="J42" i="3"/>
  <c r="L42" i="3" s="1"/>
  <c r="O41" i="3"/>
  <c r="L41" i="3"/>
  <c r="J41" i="3"/>
  <c r="O40" i="3"/>
  <c r="L40" i="3"/>
  <c r="J40" i="3"/>
  <c r="O39" i="3"/>
  <c r="L39" i="3"/>
  <c r="J39" i="3"/>
  <c r="O38" i="3"/>
  <c r="L38" i="3"/>
  <c r="J38" i="3"/>
  <c r="O37" i="3"/>
  <c r="L37" i="3"/>
  <c r="J37" i="3"/>
  <c r="O36" i="3"/>
  <c r="L36" i="3"/>
  <c r="J36" i="3"/>
  <c r="O35" i="3"/>
  <c r="L35" i="3"/>
  <c r="J35" i="3"/>
  <c r="O34" i="3"/>
  <c r="L34" i="3"/>
  <c r="J34" i="3"/>
  <c r="O33" i="3"/>
  <c r="L33" i="3"/>
  <c r="J33" i="3"/>
  <c r="O32" i="3"/>
  <c r="L32" i="3"/>
  <c r="J32" i="3"/>
  <c r="O31" i="3"/>
  <c r="L31" i="3"/>
  <c r="J31" i="3"/>
  <c r="O30" i="3"/>
  <c r="L30" i="3"/>
  <c r="J30" i="3"/>
  <c r="O29" i="3"/>
  <c r="L29" i="3"/>
  <c r="J29" i="3"/>
  <c r="O28" i="3"/>
  <c r="J28" i="3"/>
  <c r="L28" i="3" s="1"/>
  <c r="O27" i="3"/>
  <c r="L27" i="3"/>
  <c r="J27" i="3"/>
  <c r="O26" i="3"/>
  <c r="J26" i="3"/>
  <c r="L26" i="3" s="1"/>
  <c r="O25" i="3"/>
  <c r="J25" i="3"/>
  <c r="L25" i="3" s="1"/>
  <c r="O24" i="3"/>
  <c r="L24" i="3"/>
  <c r="J24" i="3"/>
  <c r="O23" i="3"/>
  <c r="J23" i="3"/>
  <c r="L23" i="3" s="1"/>
  <c r="O22" i="3"/>
  <c r="J22" i="3"/>
  <c r="L22" i="3" s="1"/>
  <c r="O21" i="3"/>
  <c r="J21" i="3"/>
  <c r="L21" i="3" s="1"/>
  <c r="O20" i="3"/>
  <c r="J20" i="3"/>
  <c r="L20" i="3" s="1"/>
  <c r="O19" i="3"/>
  <c r="J19" i="3"/>
  <c r="L19" i="3" s="1"/>
  <c r="O18" i="3"/>
  <c r="J18" i="3"/>
  <c r="L18" i="3" s="1"/>
  <c r="O17" i="3"/>
  <c r="J17" i="3"/>
  <c r="L17" i="3" s="1"/>
  <c r="O16" i="3"/>
  <c r="L16" i="3"/>
  <c r="J16" i="3"/>
  <c r="O15" i="3"/>
  <c r="L15" i="3"/>
  <c r="J15" i="3"/>
  <c r="O14" i="3"/>
  <c r="L14" i="3"/>
  <c r="J14" i="3"/>
  <c r="O13" i="3"/>
  <c r="L13" i="3"/>
  <c r="J13" i="3"/>
  <c r="O12" i="3"/>
  <c r="L12" i="3"/>
  <c r="J12" i="3"/>
  <c r="O11" i="3"/>
  <c r="L11" i="3"/>
  <c r="J11" i="3"/>
  <c r="O10" i="3"/>
  <c r="L10" i="3"/>
  <c r="J10" i="3"/>
  <c r="O9" i="3"/>
  <c r="L9" i="3"/>
  <c r="J9" i="3"/>
  <c r="O8" i="3"/>
  <c r="L8" i="3"/>
  <c r="J8" i="3"/>
  <c r="C33" i="2"/>
  <c r="C29" i="2"/>
  <c r="E14" i="2"/>
  <c r="E13" i="2"/>
  <c r="E12" i="2"/>
  <c r="E11" i="2"/>
  <c r="E10" i="2"/>
  <c r="E9" i="2"/>
  <c r="E8" i="2"/>
  <c r="J7" i="2"/>
  <c r="I7" i="2"/>
  <c r="H7" i="2"/>
  <c r="E7" i="2"/>
  <c r="F14" i="2" l="1"/>
  <c r="F10" i="2"/>
  <c r="G10" i="2" s="1"/>
  <c r="C24" i="2"/>
  <c r="C25" i="2"/>
  <c r="F7" i="2"/>
  <c r="G7" i="2" s="1"/>
  <c r="F8" i="2"/>
  <c r="F9" i="2"/>
  <c r="G9" i="2" s="1"/>
  <c r="F13" i="2"/>
  <c r="G13" i="2" s="1"/>
  <c r="C26" i="2"/>
  <c r="C34" i="2"/>
  <c r="F11" i="2"/>
  <c r="G11" i="2" s="1"/>
  <c r="F12" i="2"/>
  <c r="C32" i="2"/>
  <c r="C35" i="2"/>
  <c r="D20" i="2" l="1"/>
  <c r="G14" i="2"/>
  <c r="J10" i="2"/>
  <c r="H10" i="2"/>
  <c r="I10" i="2" s="1"/>
  <c r="G8" i="2"/>
  <c r="D18" i="2"/>
  <c r="H9" i="2"/>
  <c r="I9" i="2" s="1"/>
  <c r="J9" i="2"/>
  <c r="J13" i="2"/>
  <c r="H13" i="2"/>
  <c r="I13" i="2" s="1"/>
  <c r="H11" i="2"/>
  <c r="I11" i="2" s="1"/>
  <c r="J11" i="2"/>
  <c r="G12" i="2"/>
  <c r="D19" i="2"/>
  <c r="J14" i="2" l="1"/>
  <c r="H14" i="2"/>
  <c r="J8" i="2"/>
  <c r="H8" i="2"/>
  <c r="J12" i="2"/>
  <c r="H12" i="2"/>
  <c r="I14" i="2" l="1"/>
  <c r="E20" i="2"/>
  <c r="I8" i="2"/>
  <c r="E18" i="2"/>
  <c r="I12" i="2"/>
  <c r="E19" i="2"/>
  <c r="C37" i="2" s="1"/>
  <c r="D37" i="2" s="1"/>
  <c r="F20" i="2" l="1"/>
  <c r="G20" i="2"/>
  <c r="C28" i="2"/>
  <c r="F18" i="2"/>
  <c r="G18" i="2"/>
  <c r="F19" i="2"/>
  <c r="G19" i="2"/>
</calcChain>
</file>

<file path=xl/sharedStrings.xml><?xml version="1.0" encoding="utf-8"?>
<sst xmlns="http://schemas.openxmlformats.org/spreadsheetml/2006/main" count="3592" uniqueCount="1127">
  <si>
    <t>DAMM v1.4 — Live Scoring Workbook</t>
  </si>
  <si>
    <t>Digital Agriculture Maturity Model · 102 indicators · 8 pillars · CMS / EMS / OES</t>
  </si>
  <si>
    <t>What this workbook is</t>
  </si>
  <si>
    <t>Purpose</t>
  </si>
  <si>
    <t>A structured diagnostic for scoring a country's digital-agriculture readiness. Feeds a Digital Agriculture Roadmap (DAR); does NOT replace professional judgement.</t>
  </si>
  <si>
    <t>What v1.4 adds vs v1.3</t>
  </si>
  <si>
    <t>v1.3 was a config file for an external app. v1.4 restores live scoring in Excel: every pillar score, read-out, stage, coverage figure and gate flag is a formula, recomputed as you edit.</t>
  </si>
  <si>
    <t>Three read-outs, never one number</t>
  </si>
  <si>
    <t>Capability (CMS), Ecosystem (EMS) and Outcomes (OES) are reported separately and never averaged. A country can build strong systems before outcomes move; a composite would hide that.</t>
  </si>
  <si>
    <t>Foundations are not tradeable</t>
  </si>
  <si>
    <t>14 core-gate indicators are prerequisites. A core gate at Level 1 caps the overall stage at Stage 1. An unmeasured core gate suppresses the stage entirely.</t>
  </si>
  <si>
    <t>Silence beats a confident guess</t>
  </si>
  <si>
    <t>Below its coverage gate (60% pillar / 70% CMS / 60% EMS) a pillar reads Not rated. An unmeasured core gate suppresses the stage.</t>
  </si>
  <si>
    <t>Confidence &amp; staleness</t>
  </si>
  <si>
    <t>Every reading carries a High/Medium/Low confidence and an observation year. Readings past their max-age limit are flagged Stale.</t>
  </si>
  <si>
    <t>Nothing before the mandate is an assessment</t>
  </si>
  <si>
    <t>Everything assembled before a government mandate is an ENGAGEMENT PACKAGE, not an assessment. No stage is claimable until human validation.</t>
  </si>
  <si>
    <t>Prohibitions wired in</t>
  </si>
  <si>
    <t>No cross-country ranking. No stage as PDO/DLI/disbursement condition. No automatic financing or vendor decisions. No stage without human validation.</t>
  </si>
  <si>
    <t>How to use this workbook</t>
  </si>
  <si>
    <t>1. Study Egypt worked example</t>
  </si>
  <si>
    <t>Open 'Egypt (worked)' to see how a country is populated. Note the Level column (D), Confidence (F), Year (G), Source (H).</t>
  </si>
  <si>
    <t>2. Duplicate the Blank Template</t>
  </si>
  <si>
    <t>Right-click the 'Blank Template' tab → Move or Copy → tick Create a Copy. Rename to your country.</t>
  </si>
  <si>
    <t>3. Populate columns C–H</t>
  </si>
  <si>
    <t>For each row: enter the observed Value, the assessor Level 1–5 (which always wins over the machine suggestion), Confidence H/M/L, Observation Year, Source name and URL. Leave Level blank to mark a Data Gap.</t>
  </si>
  <si>
    <t>4. Read the 'Scores' tab</t>
  </si>
  <si>
    <t>The dashboard reads live from your populated sheet. Change the country reference in Config!D6 to point at your new sheet.</t>
  </si>
  <si>
    <t>5. Check gate flags</t>
  </si>
  <si>
    <t>The Scores sheet flags any core gate at L1, any unmeasured core gate, any pillar below coverage, and any stale readings. Address these before claiming a stage.</t>
  </si>
  <si>
    <t>6. Export for the panel</t>
  </si>
  <si>
    <t>Filter Indicators sheet for panel scoring. Record dissent on anchored rubrics in the Notes column.</t>
  </si>
  <si>
    <t>Sheet index</t>
  </si>
  <si>
    <t>Scores</t>
  </si>
  <si>
    <t>Live dashboard: pillar / CMS / EMS / OES / stage / coverage / core-gate status / staleness</t>
  </si>
  <si>
    <t>Egypt (worked)</t>
  </si>
  <si>
    <t>Full worked example populated with Egypt data — 102 rows, live formulas</t>
  </si>
  <si>
    <t>Blank Template</t>
  </si>
  <si>
    <t>Empty scoring workbook — duplicate and rename for a new country</t>
  </si>
  <si>
    <t>Indicators</t>
  </si>
  <si>
    <t>102-indicator census: pillar, role, method, direction, core gate, max age, thresholds</t>
  </si>
  <si>
    <t>Level Anchors</t>
  </si>
  <si>
    <t>Written L1–L5 anchor text for anchored rubric indicators</t>
  </si>
  <si>
    <t>Core Gates</t>
  </si>
  <si>
    <t>The 14 prerequisite indicators and why they gate</t>
  </si>
  <si>
    <t>Config</t>
  </si>
  <si>
    <t>Single source of truth: bands, coverage gates, weights, confidence weights, staleness limits</t>
  </si>
  <si>
    <t>Decision Ladder</t>
  </si>
  <si>
    <t>8 steps from automated diagnostic (T0) to adoption (D6), with named decider</t>
  </si>
  <si>
    <t>Glossary</t>
  </si>
  <si>
    <t>CMS, EMS, OES, core gates, coverage, provisional, stale, engagement package</t>
  </si>
  <si>
    <t>Methodology</t>
  </si>
  <si>
    <t>Rules, cascade, provenance, prohibitions</t>
  </si>
  <si>
    <t>Changelog</t>
  </si>
  <si>
    <t>v1.0 → v1.1 → v1.3 → v1.4</t>
  </si>
  <si>
    <t>Scores — live dashboard</t>
  </si>
  <si>
    <t>Reads 'Egypt (worked)'. To point at a different country, copy this sheet and Find/Replace the tab name.</t>
  </si>
  <si>
    <t>Pillar scores</t>
  </si>
  <si>
    <t>Pillar</t>
  </si>
  <si>
    <t>Name</t>
  </si>
  <si>
    <t>Role</t>
  </si>
  <si>
    <t># indicators</t>
  </si>
  <si>
    <t># levelled</t>
  </si>
  <si>
    <t>Coverage</t>
  </si>
  <si>
    <t>Mean level</t>
  </si>
  <si>
    <t>Band</t>
  </si>
  <si>
    <t>Status</t>
  </si>
  <si>
    <t>C0</t>
  </si>
  <si>
    <t>Agricultural context &amp; need</t>
  </si>
  <si>
    <t>Context</t>
  </si>
  <si>
    <t>C1</t>
  </si>
  <si>
    <t>Connectivity &amp; affordable access</t>
  </si>
  <si>
    <t>Capability</t>
  </si>
  <si>
    <t>C2</t>
  </si>
  <si>
    <t>Data infrastructure &amp; DPI</t>
  </si>
  <si>
    <t>C3</t>
  </si>
  <si>
    <t>Policy, governance &amp; safeguards</t>
  </si>
  <si>
    <t>C4</t>
  </si>
  <si>
    <t>Human &amp; institutional capacity</t>
  </si>
  <si>
    <t>E1</t>
  </si>
  <si>
    <t>Innovation &amp; private sector</t>
  </si>
  <si>
    <t>Ecosystem</t>
  </si>
  <si>
    <t>E2</t>
  </si>
  <si>
    <t>Responsible AI &amp; emerging tech</t>
  </si>
  <si>
    <t>O1</t>
  </si>
  <si>
    <t>Inclusion, sustainability &amp; outcomes</t>
  </si>
  <si>
    <t>Outcome</t>
  </si>
  <si>
    <t>Composite read-outs</t>
  </si>
  <si>
    <t>Read-out</t>
  </si>
  <si>
    <t>Formula</t>
  </si>
  <si>
    <t>Score</t>
  </si>
  <si>
    <t>Stage-eligible?</t>
  </si>
  <si>
    <t>CMS</t>
  </si>
  <si>
    <t>Capability (C1×w + C2×w + C3×w + C4×w) — suppress if any pillar unrated</t>
  </si>
  <si>
    <t>EMS</t>
  </si>
  <si>
    <t>Ecosystem (E1×w + E2×w) — suppress if any pillar unrated</t>
  </si>
  <si>
    <t>OES</t>
  </si>
  <si>
    <t>Outcome (O1 mean)</t>
  </si>
  <si>
    <t>Core-gate audit (14 prerequisites)</t>
  </si>
  <si>
    <t>Metric</t>
  </si>
  <si>
    <t>Count</t>
  </si>
  <si>
    <t>Meaning</t>
  </si>
  <si>
    <t>Core gates at L1</t>
  </si>
  <si>
    <t>Caps overall stage at Stage 1 if &gt; 0</t>
  </si>
  <si>
    <t>Core gates unmeasured</t>
  </si>
  <si>
    <t>Suppresses overall stage if &gt; 0</t>
  </si>
  <si>
    <t>Core gates ≥ L3</t>
  </si>
  <si>
    <t>How many gates are already Established or better</t>
  </si>
  <si>
    <t>Overall stage (non-compensatory cascade)</t>
  </si>
  <si>
    <t>OVERALL STAGE</t>
  </si>
  <si>
    <t>Claim status</t>
  </si>
  <si>
    <t>Evidence adequacy &amp; staleness</t>
  </si>
  <si>
    <t>Value</t>
  </si>
  <si>
    <t>Weighted evidence adequacy</t>
  </si>
  <si>
    <t>0.5+ required for the read-outs to stand (Ev_Min)</t>
  </si>
  <si>
    <t>Stale readings</t>
  </si>
  <si>
    <t>Observation year older than the indicator's max age</t>
  </si>
  <si>
    <t>Data gaps</t>
  </si>
  <si>
    <t>Scored indicators with no assessor level AND no machine level</t>
  </si>
  <si>
    <t>Coverage — overall (scored pillars only)</t>
  </si>
  <si>
    <t>Share of scored indicators (excludes C0 context) that carry a level</t>
  </si>
  <si>
    <t>Fragile-progress (leapfrog) check</t>
  </si>
  <si>
    <t>Foundation vs Ecosystem gap</t>
  </si>
  <si>
    <t>Egypt — DAMM v1.4 assessment</t>
  </si>
  <si>
    <t>Live scoring. Edit columns I–R. Columns J, L, O are formulas.</t>
  </si>
  <si>
    <t>Assessment mode</t>
  </si>
  <si>
    <t>Comprehensive (draft, engagement package)</t>
  </si>
  <si>
    <t>Assessor</t>
  </si>
  <si>
    <t>World Bank task team (draft)</t>
  </si>
  <si>
    <t>Mandate date</t>
  </si>
  <si>
    <t>PRE-MANDATE — engagement package</t>
  </si>
  <si>
    <t>Reference year</t>
  </si>
  <si>
    <t>ID</t>
  </si>
  <si>
    <t>Indicator</t>
  </si>
  <si>
    <t>Method</t>
  </si>
  <si>
    <t>Dir.</t>
  </si>
  <si>
    <t>Core gate</t>
  </si>
  <si>
    <t>Max age</t>
  </si>
  <si>
    <t>Machine L (auto)</t>
  </si>
  <si>
    <t>Assessor L</t>
  </si>
  <si>
    <t>Effective L</t>
  </si>
  <si>
    <t>Confidence</t>
  </si>
  <si>
    <t>Year</t>
  </si>
  <si>
    <t>Stale?</t>
  </si>
  <si>
    <t>Source</t>
  </si>
  <si>
    <t>URL</t>
  </si>
  <si>
    <t>Notes / dissent</t>
  </si>
  <si>
    <t>1.1</t>
  </si>
  <si>
    <t>Agriculture value added per worker (constant 2015 USD)</t>
  </si>
  <si>
    <t>Context profile (not aggregated)</t>
  </si>
  <si>
    <t>N/A</t>
  </si>
  <si>
    <t>High</t>
  </si>
  <si>
    <t>World Bank WDI (NV.AGR.EMPL.KD)</t>
  </si>
  <si>
    <t>https://api.worldbank.org/v2/country/EGY/indicator/NV.AGR.EMPL.KD?format=json</t>
  </si>
  <si>
    <t>Latest confirmed annual WDI observation for Egypt is 2023 ($8,390.60); later WDI 2024/2025 figures are nowcasted/modeled.</t>
  </si>
  <si>
    <t>1.2</t>
  </si>
  <si>
    <t>Cereal yield (kg per hectare)</t>
  </si>
  <si>
    <t>World Bank WDI (AG.YLD.CREL.KG)</t>
  </si>
  <si>
    <t>https://api.worldbank.org/v2/country/EGY/indicator/AG.YLD.CREL.KG?format=json</t>
  </si>
  <si>
    <t>Egypt has among the highest cereal yields globally due to intensive irrigated agriculture.</t>
  </si>
  <si>
    <t>1.3</t>
  </si>
  <si>
    <t>Employment in agriculture (% of total employment)</t>
  </si>
  <si>
    <t>Medium</t>
  </si>
  <si>
    <t>World Bank WDI (SL.AGR.EMPL.ZS)</t>
  </si>
  <si>
    <t>https://api.worldbank.org/v2/country/EGY/indicator/SL.AGR.EMPL.ZS?format=json</t>
  </si>
  <si>
    <t>WDI series continues to publish nowcasted 2024/2025 values (~17.5%); using confirmed recent-year band as best estimate.</t>
  </si>
  <si>
    <t>1.4</t>
  </si>
  <si>
    <t>Food production index (2014-2016 = 100)</t>
  </si>
  <si>
    <t>World Bank WDI (AG.PRD.FOOD.XD)</t>
  </si>
  <si>
    <t>https://api.worldbank.org/v2/country/EGY/indicator/AG.PRD.FOOD.XD?format=json</t>
  </si>
  <si>
    <t>Most recent published FAO-sourced food production index value via WDI.</t>
  </si>
  <si>
    <t>1.5</t>
  </si>
  <si>
    <t>Post-harvest loss rate (%)</t>
  </si>
  <si>
    <t>10-15% of agricultural income; up to 30% for fruit/vegetables</t>
  </si>
  <si>
    <t>FAO/MALR, Sustainable Agricultural Development Strategy towards 2030</t>
  </si>
  <si>
    <t>https://faolex.fao.org/docs/pdf/egy141040E.pdf</t>
  </si>
  <si>
    <t>SADS 2030 strategy document (MALR/FAO) states pre/post-harvest losses exceed 30% in vegetables and fruit, 20% in legumes/tubers, 10% in cereals, equating to 10-15% of total agricultural income; FAO Egypt food-loss project separately cites 15-45% depending on crop.</t>
  </si>
  <si>
    <t>1.6</t>
  </si>
  <si>
    <t>Smallholder access to formal markets (%)</t>
  </si>
  <si>
    <t>~12% (Upper Egypt)</t>
  </si>
  <si>
    <t>IFAD Executive Board Seminar Document EB-2025-OR-16</t>
  </si>
  <si>
    <t>https://webapps.ifad.org/members/eb-seminars/2025-11-25-EB-Consultations/docs/EB-2025-OR-16.pdf</t>
  </si>
  <si>
    <t>IFAD reports only about 12% of farmers in Upper Egypt have direct links to formal buyers; no comprehensive national figure found, so this is a regional proxy.</t>
  </si>
  <si>
    <t>1.7</t>
  </si>
  <si>
    <t>Agricultural credit access (% of farmers)</t>
  </si>
  <si>
    <t>&lt;25% financially included; ag sector receives ~1% of institutional lending</t>
  </si>
  <si>
    <t>World Bank / MDPI 2024 citing WB 2021 Findex</t>
  </si>
  <si>
    <t>https://www.mdpi.com/1911-8074/17/11/487</t>
  </si>
  <si>
    <t>Less than 25% of Egypt's rural population is financially included per bank account ownership (World Bank 2021, cited in 2024 MDPI study); older World Bank data show agriculture receiving only ~1% of total institutional lending versus 38%/26% for industry/services.</t>
  </si>
  <si>
    <t>1.8</t>
  </si>
  <si>
    <t>Farmers using climate-smart/sustainable practices (%)</t>
  </si>
  <si>
    <t>Low</t>
  </si>
  <si>
    <t>SADS 2030 (qualitative; no adoption-rate survey found)</t>
  </si>
  <si>
    <t>SADS 2030 sets climate-smart and water-efficiency ambitions but does not publish a measured adoption rate among farmers; assessed level 2 (aspirational policy target, adoption not yet measured/scaled) rather than a Data Gap given the strategy explicitly frames this as a named priority.</t>
  </si>
  <si>
    <t>1.9</t>
  </si>
  <si>
    <t>National innovation/extension programs with digital component</t>
  </si>
  <si>
    <t>Anchored capability rubric</t>
  </si>
  <si>
    <t>MALR/MCIT program review; FAO; GIZ</t>
  </si>
  <si>
    <t>https://www.sis.gov.eg/Story/193871/Digital-transformation-in-agro-sector-reviewed?lang=en-us</t>
  </si>
  <si>
    <t>Multiple active digital-extension programs exist (Hudhud AI pest ID, El Mufeed advisory app, Morshed Zaki AI chatbot pilot with GIZ, crop-mapping/satellite project) reviewed at ministerial level in Sept 2025, indicating an established but still-maturing digital extension ecosystem — assessed at level 4 (established, multiple programs, government-led coordination) rather than 5 (fully integrated/scaled).</t>
  </si>
  <si>
    <t>2.1</t>
  </si>
  <si>
    <t>Rural population covered by at least 3G (%)</t>
  </si>
  <si>
    <t>Quantitative threshold</t>
  </si>
  <si>
    <t>Higher</t>
  </si>
  <si>
    <t>YES</t>
  </si>
  <si>
    <t>ITU DataHub / ITU IDI Dataset</t>
  </si>
  <si>
    <t>https://datahub.itu.int/docs/IDIDataset.xlsx</t>
  </si>
  <si>
    <t>CORE GATE. ITU DataHub IDI dataset population-covered-by-3G figure for Egypt is near-universal (~99.8%), consistent with ITU DDD Egypt profile showing 100% network population coverage for 3G in 2022.</t>
  </si>
  <si>
    <t>2.2</t>
  </si>
  <si>
    <t>Rural population covered by at least 4G (%)</t>
  </si>
  <si>
    <t>ITU IDI dataset shows ~98% population 4G coverage; ITU DDD Egypt profile (2022) reports 98% 4G network coverage nationally.</t>
  </si>
  <si>
    <t>2.3</t>
  </si>
  <si>
    <t>Active mobile broadband subscriptions per 100 inhabitants</t>
  </si>
  <si>
    <t>ITU IDI dataset active mobile-broadband subscriptions per 100 inhabitants for Egypt.</t>
  </si>
  <si>
    <t>2.4</t>
  </si>
  <si>
    <t>Individuals using the Internet (% of population)</t>
  </si>
  <si>
    <t>World Bank WDI (IT.NET.USER.ZS), ITU source</t>
  </si>
  <si>
    <t>https://api.worldbank.org/v2/country/EGY/indicator/IT.NET.USER.ZS?format=json</t>
  </si>
  <si>
    <t>WDI figure (ITU-sourced) for internet users. Note DataReportal's Digital 2025 Egypt report gives a higher figure (81.9%, Jan 2025) using a different survey methodology — both cited for context.</t>
  </si>
  <si>
    <t>2.5</t>
  </si>
  <si>
    <t>Mobile broadband basket price (% GNI per capita)</t>
  </si>
  <si>
    <t>Lower</t>
  </si>
  <si>
    <t>ITU DataHub / ENCC Egypt</t>
  </si>
  <si>
    <t>https://encc-eg.org/en/pressroom/press.aspx?id=514</t>
  </si>
  <si>
    <t>CORE GATE. ITU IDI mobile data+voice basket price for Egypt is in the 1.1-1.4% of GNI per capita range, well under the UN Broadband Commission 2% affordability target.</t>
  </si>
  <si>
    <t>2.6</t>
  </si>
  <si>
    <t>Adults with mobile phone (% age 15+)</t>
  </si>
  <si>
    <t>World Bank WDI (IT.CEL.SETS.P2, mobile cellular subscriptions per 100)</t>
  </si>
  <si>
    <t>https://api.worldbank.org/v2/country/EGY/indicator/IT.CEL.SETS.P2?format=json</t>
  </si>
  <si>
    <t>Using mobile-cellular-subscriptions-per-100 (97.1) as a proxy for adult mobile phone ownership since a direct 15+ ownership rate was not located; MCIT Q2 2024 bulletin corroborates penetration of ~101.9% (subscriptions, not unique users).</t>
  </si>
  <si>
    <t>2.7</t>
  </si>
  <si>
    <t>Smartphone ownership among rural/agricultural population (%)</t>
  </si>
  <si>
    <t>CAPMAS 2015 household survey (via Ahram Online)</t>
  </si>
  <si>
    <t>https://english.ahram.org.eg/NewsContent/3/12/236203/-.aspx</t>
  </si>
  <si>
    <t>Only figure located is dated (CAPMAS 2015): 13.9% smartphone ownership in rural households vs 31.7% urban; exceeds MaxAge, likely understates 2025-26 penetration given intervening smartphone price declines — flagged Low/Estimated confidence pending an updated survey.</t>
  </si>
  <si>
    <t>2.8</t>
  </si>
  <si>
    <t>Average mobile data cost in rural areas (USD per GB)</t>
  </si>
  <si>
    <t>Proxy: ITU mobile data+voice basket (~1.1-1.4% GNI p.c. national average)</t>
  </si>
  <si>
    <t>No rural-specific mobile data cost breakdown was found; the national mobile data+voice basket price (1.1-1.4% of GNI per capita) is used as an affordability proxy, well within global affordability benchmarks, so assessed level 3 pending a rural-specific figure.</t>
  </si>
  <si>
    <t>2.9</t>
  </si>
  <si>
    <t>Electricity access in rural areas (%)</t>
  </si>
  <si>
    <t>World Bank WDI (EG.ELC.ACCS.RU.ZS)</t>
  </si>
  <si>
    <t>https://api.worldbank.org/v2/country/EGY/indicator/EG.ELC.ACCS.RU.ZS?format=json</t>
  </si>
  <si>
    <t>CORE GATE. Egypt has achieved universal (100%) rural electricity access per WDI.</t>
  </si>
  <si>
    <t>2.10</t>
  </si>
  <si>
    <t>Average download speed in agricultural areas (Mbps)</t>
  </si>
  <si>
    <t>Ookla via DataReportal Digital 2025 Egypt (national median, proxy)</t>
  </si>
  <si>
    <t>https://datareportal.com/reports/digital-2025-egypt</t>
  </si>
  <si>
    <t>No agriculture-area-specific broadband speed data was found; using the national median mobile download speed (24.17 Mbps, up from 22.11 Mbps in 2024) as a proxy since rural/agricultural-zone-specific measurement is unavailable.</t>
  </si>
  <si>
    <t>2.11</t>
  </si>
  <si>
    <t>Device financing/subsidy schemes for farmers</t>
  </si>
  <si>
    <t>Sector review (no dedicated scheme identified)</t>
  </si>
  <si>
    <t>No dedicated national device-financing/subsidy scheme specifically for farmers was identified; general consumer device financing exists in the broader Egyptian market but not targeted at farmers — assessed at a low maturity level (2) as an emerging/ad hoc capability.</t>
  </si>
  <si>
    <t>3.1</t>
  </si>
  <si>
    <t>UN E-Government Development Index (EGDI)</t>
  </si>
  <si>
    <t>UN E-Government Survey 2024</t>
  </si>
  <si>
    <t>https://desapublications.un.org/sites/default/files/publications/2024-10/Chapter%203%20%20E-Government%20Survey%202024.pdf</t>
  </si>
  <si>
    <t>Egypt EGDI rose to 0.6699 (rank 95/193, rating H3) in the 2024 UN E-Government Survey, up from 0.5895 (rank 103) in 2022.</t>
  </si>
  <si>
    <t>3.2</t>
  </si>
  <si>
    <t>Open Data Inventory (ODIN) score</t>
  </si>
  <si>
    <t>Open Data Watch ODIN (score not numerically confirmed; qualitative placement only)</t>
  </si>
  <si>
    <t>https://odin.opendatawatch.com/</t>
  </si>
  <si>
    <t>Direct retrieval of Egypt's numeric ODIN score/rank from Open Data Watch's country-profile and rankings pages did not return extractable data in this session. Egypt does not have a strong open-data reputation in adjacent benchmarks (no dedicated national ag open-data portal per indicator 3.5; general EGDI Online Service Index of 0.70 suggests moderate but incomplete e-government data openness) — assessed a cautious level 2 pending direct confirmation of the official ODIN score.</t>
  </si>
  <si>
    <t>3.3</t>
  </si>
  <si>
    <t>National farmer registry/database</t>
  </si>
  <si>
    <t>MALR Farmer Card / Meeza Farmer Card system</t>
  </si>
  <si>
    <t>https://oxfordbusinessgroup.com/reports/egypt/2022-report/economy/tools-of-the-trade-digitalisation-is-key-to-efforts-to-bolster-food-and-water-security</t>
  </si>
  <si>
    <t>CORE GATE. Egypt operates a national 'Farmer Card' smart-card registry (since 2016) recording landholding, quota, and subsidy data, digitally linked since 2020 to the Meeza payment system and Agricultural Bank of Egypt for subsidized lending — an operating, integrated registry, assessed level 4 (established and linked to financial services) short of level 5 (fully interoperable across all ag programs).</t>
  </si>
  <si>
    <t>3.4</t>
  </si>
  <si>
    <t>Digital land/plot registration system</t>
  </si>
  <si>
    <t>Ministry of Justice / ESA cadastre modernization; Ahram Online</t>
  </si>
  <si>
    <t>https://english.ahram.org.eg/News/560931.aspx</t>
  </si>
  <si>
    <t>Egypt has a long-running but incomplete land registration digitization effort (Nationwide Title Cadastre System since ~2005); a new digital platform for informal land legalization (Law 168/2025) launched May 2026 (nplr.estrdad.gov.eg), indicating continued modernization but not yet comprehensive national coverage — assessed level 3 (partial/piloting).</t>
  </si>
  <si>
    <t>3.5</t>
  </si>
  <si>
    <t>National agricultural data portal / open data</t>
  </si>
  <si>
    <t>Sector review</t>
  </si>
  <si>
    <t>No single comprehensive national agricultural open-data portal was identified; MALR/MCIT projects (Digital Egypt integration, crop-mapping) suggest data exists internally but is not clearly published as an open portal — assessed level 2 (early-stage/fragmented).</t>
  </si>
  <si>
    <t>3.6</t>
  </si>
  <si>
    <t>Weather/climate data infrastructure for agriculture</t>
  </si>
  <si>
    <t>DAIRS climate early-warning system (per CGIAR/ICARDA review)</t>
  </si>
  <si>
    <t>https://cgspace.cgiar.org/server/api/core/bitstreams/d4a33acc-564a-4e4c-a413-81ba3ebd4d90/content</t>
  </si>
  <si>
    <t>Government-led DAIRS climate early-warning system is under development/limited rollout per ICARDA 2025 review; functioning but not yet at full national scale — assessed level 3.</t>
  </si>
  <si>
    <t>3.7</t>
  </si>
  <si>
    <t>Satellite/earth observation data integration capability</t>
  </si>
  <si>
    <t>SIS.gov.eg MALR/MCIT crop-mapping project review</t>
  </si>
  <si>
    <t>Egypt has an active MALR-MCIT project using AI and satellite imagery to map agricultural land, forecast crop yields, and monitor pests (reviewed September 2025) — an operating capability, assessed level 4.</t>
  </si>
  <si>
    <t>3.8</t>
  </si>
  <si>
    <t>National soil map/database (digital)</t>
  </si>
  <si>
    <t>No verified evidence of a comprehensive, publicly accessible digital national soil map/database for Egypt was located in this search; historical soil surveys exist but digitization status is unclear — assessed level 2 pending further evidence.</t>
  </si>
  <si>
    <t>3.9</t>
  </si>
  <si>
    <t>Digital advisory platforms reaching &gt;10,000 users</t>
  </si>
  <si>
    <t>100,000+ users (Mahsoly, AlMorshed Poultry); 10,000+ (several other advisory platforms)</t>
  </si>
  <si>
    <t>CGIAR/ICARDA digital agriculture review</t>
  </si>
  <si>
    <t>https://cgspace.cgiar.org/server/api/core/bitstreams/9f8108a1-d7e7-54a1-8527-3111f8e4bfc0/content</t>
  </si>
  <si>
    <t>ICARDA 2025 review reports Mahsoly and AlMorshed Poultry each reaching 100,000+ users, with several other advisory platforms (El-Mufeed, Mazra3ty, Fila7a) reaching 10,000+ — clear threshold pass, assessed level 4.</t>
  </si>
  <si>
    <t>3.10</t>
  </si>
  <si>
    <t>Digital agricultural market/e-commerce platforms (&gt;5,000 active users)</t>
  </si>
  <si>
    <t>Sector review (Mozare3, AgriCash, Mahsoly)</t>
  </si>
  <si>
    <t>https://medium.com/@abdelrhmansoliman96/egypts-foodtech-market-map-2024-a-comprehensive-analysis-of-the-digital-food-ecosystem-cbcd6d81814f</t>
  </si>
  <si>
    <t>Mozare3 reports financing ~6,300 smallholder farmers (below the 5,000-active-user threshold but close), and platforms like Mahsoly report 100,000+ users for price-monitoring rather than transactional e-commerce; assessed level 3 (emerging, multiple platforms, uneven scale).</t>
  </si>
  <si>
    <t>3.11</t>
  </si>
  <si>
    <t>Interoperability standards for agricultural data</t>
  </si>
  <si>
    <t>No dedicated agricultural-data interoperability standard was identified; broader Digital Egypt platform integration efforts exist across MALR/MCIT/ABE systems (Farmer Card, Meeza, Digital Egypt) but no documented common data standard for agriculture specifically — CORE GATE, assessed level 2 (ad hoc, bilateral integrations only).</t>
  </si>
  <si>
    <t>3.12</t>
  </si>
  <si>
    <t>AI-ready agricultural datasets</t>
  </si>
  <si>
    <t>Sector review (satellite/crop-mapping project as precursor)</t>
  </si>
  <si>
    <t>The MALR-MCIT satellite/AI crop-mapping project implies emerging structured datasets suitable for AI use, but no evidence of a curated, published AI-ready agricultural dataset was found — assessed level 2.</t>
  </si>
  <si>
    <t>3.13</t>
  </si>
  <si>
    <t>Machine-readable open agricultural data (share of national ag statistics as open APIs)</t>
  </si>
  <si>
    <t>Sector review (no evidence of open agricultural-statistics APIs)</t>
  </si>
  <si>
    <t>New quantitative indicator (thresholds L2=20, L3=40, L4=60, L5=80). No evidence was found of Egypt publishing national agricultural statistics via open, machine-readable APIs; MALR/CAPMAS agricultural census and statistical data appear to be published in conventional report/PDF form rather than API-accessible formats — assessed level 1 (below L2 threshold; no confirmed open-API provision), consistent with the broader Open Data Inventory data gap (indicator 3.2).</t>
  </si>
  <si>
    <t>4.1</t>
  </si>
  <si>
    <t>Data protection/privacy law</t>
  </si>
  <si>
    <t>Personal Data Protection Law No. 151/2020</t>
  </si>
  <si>
    <t>https://www.acc.com/sites/default/files/program-materials/upload/Data%20Protection%20Law%20-%20Egypt%20-%20EN%20-%20MBH.PDF</t>
  </si>
  <si>
    <t>CORE GATE. Egypt's PDPL (Law 151/2020) is in force, covering electronic processing of personal data with carve-outs for national security/judicial/media; comprehensive general law but implementing regulations and enforcement track record still maturing — assessed level 4.</t>
  </si>
  <si>
    <t>4.2</t>
  </si>
  <si>
    <t>Cybersecurity legal framework (ITU GCI)</t>
  </si>
  <si>
    <t>ITU Global Cybersecurity Index 2024</t>
  </si>
  <si>
    <t>https://www.itu.int/epublications/publication/global-cybersecurity-index-2024</t>
  </si>
  <si>
    <t>CORE GATE. Egypt scored a perfect 100/100 in the ITU GCI 2024, Tier 1 'Role-Modelling' status, with 20/20 across all five pillars including the legal-measures pillar; up from 95.48 in the 2020 edition.</t>
  </si>
  <si>
    <t>4.3</t>
  </si>
  <si>
    <t>Government AI Readiness Index</t>
  </si>
  <si>
    <t>Oxford Insights Government AI Readiness Index 2025</t>
  </si>
  <si>
    <t>https://english.ahram.org.eg/NewsContent/3/1239/560268/Business/Tech/Egypt-tops-Africa-in-AI-readiness,-ranks-st-global.aspx</t>
  </si>
  <si>
    <t>Egypt scored 57.5 and ranked 51st globally (1st in Africa, 4th in MENA) in the 2025 Oxford Insights Government AI Readiness Index, up 14 places from 65th (score 55.63) in the 2024 edition.</t>
  </si>
  <si>
    <t>4.4</t>
  </si>
  <si>
    <t>National digital agriculture strategy</t>
  </si>
  <si>
    <t>Sustainable Agricultural Development Strategy towards 2030 (SADS 2030)</t>
  </si>
  <si>
    <t>SADS 2030 (originally 2009, updated executive summary Dec 2020, with MALR-FAO protocol for further update) addresses digital agriculture themes within a broader agricultural strategy, but there is no evidence of a freestanding, dedicated 'digital agriculture strategy' document — assessed level 3 (embedded within broader sector strategy).</t>
  </si>
  <si>
    <t>4.5</t>
  </si>
  <si>
    <t>Agricultural data governance framework</t>
  </si>
  <si>
    <t>CORE GATE. No dedicated agricultural data governance framework was identified beyond the general PDPL (Law 151/2020); MALR's institutional data practices are not documented in detail — assessed level 2.</t>
  </si>
  <si>
    <t>4.6</t>
  </si>
  <si>
    <t>National AI strategy with agriculture component</t>
  </si>
  <si>
    <t>Egypt National AI Strategy, 2nd edition (2025-2030)</t>
  </si>
  <si>
    <t>https://mcit.gov.eg/Upcont/Documents/Publications_572021000_Egypt_Nation_%20Artificial_Intelligence_Strategy_05072021.pdf</t>
  </si>
  <si>
    <t>Egypt's National AI Strategy (1st edition 2021, 2nd edition 2025-2030) explicitly names agriculture as a Phase 1 priority sector, overseen by the National Council for AI (established 2019, chaired by the MCIT Minister) — assessed level 4 (explicit sectoral priority with institutional backing, not yet fully implemented/measured).</t>
  </si>
  <si>
    <t>4.7</t>
  </si>
  <si>
    <t>Digital ID system coverage (% of population)</t>
  </si>
  <si>
    <t>World Bank ID4D Global Dataset</t>
  </si>
  <si>
    <t>https://documents1.worldbank.org/curated/en/099705012232226786/pdf/P176341032c1ef0b20adf10abad304425ef.pdf</t>
  </si>
  <si>
    <r>
      <rPr>
        <sz val="11"/>
        <color theme="1"/>
        <rFont val="Calibri"/>
        <family val="2"/>
        <charset val="1"/>
      </rPr>
      <t>World Bank ID4D dataset reports 97.2% adult (16+) ownership of Egypt's National ID Card (</t>
    </r>
    <r>
      <rPr>
        <sz val="11"/>
        <color theme="1"/>
        <rFont val="FreeSans"/>
        <family val="2"/>
      </rPr>
      <t>بطاقة الرقم القومي</t>
    </r>
    <r>
      <rPr>
        <sz val="11"/>
        <color theme="1"/>
        <rFont val="Calibri"/>
        <family val="2"/>
        <charset val="1"/>
      </rPr>
      <t>), among the highest coverage rates globally; mandatory registration law dates to 1949. Note: a 2025 Ahram Online report cites ~4 million women nationally still lacking cards.</t>
    </r>
  </si>
  <si>
    <t>4.8</t>
  </si>
  <si>
    <t>Data sovereignty provisions for agricultural data</t>
  </si>
  <si>
    <t>Personal Data Protection Law 151/2020 (general, not ag-specific)</t>
  </si>
  <si>
    <t>PDPL 151/2020 includes general cross-border data transfer restrictions but no agriculture-specific data sovereignty provisions were identified — assessed level 2.</t>
  </si>
  <si>
    <t>4.9</t>
  </si>
  <si>
    <t>Inter-ministerial coordination mechanism for digital agriculture</t>
  </si>
  <si>
    <t>MALR-MCIT joint project reviews (SIS.gov.eg, Zawya)</t>
  </si>
  <si>
    <t>CORE GATE. Regular joint MALR-MCIT reviews of digital transformation projects in the agricultural sector are documented (e.g., Sept 2025 SIS report, 2021 Zawya report) covering Farmer Card automation, Hudhud, and satellite crop-mapping — an active, recurring coordination mechanism, assessed level 4.</t>
  </si>
  <si>
    <t>4.10</t>
  </si>
  <si>
    <t>Competition/antitrust framework for digital agricultural markets</t>
  </si>
  <si>
    <t>Sector review (general competition law, not ag-digital specific)</t>
  </si>
  <si>
    <t>Egypt has a general Competition Law/Egyptian Competition Authority, but no agriculture-digital-market-specific competition framework was identified — assessed level 2.</t>
  </si>
  <si>
    <t>4.11</t>
  </si>
  <si>
    <t>Public procurement rules enabling digital agriculture innovation</t>
  </si>
  <si>
    <t>No evidence found of procurement rules specifically tailored to enable digital agriculture innovation (e.g., innovation partnerships, agile procurement for agtech); general public procurement law applies — assessed level 2.</t>
  </si>
  <si>
    <t>4.12</t>
  </si>
  <si>
    <t>Spectrum allocation for rural/agricultural IoT</t>
  </si>
  <si>
    <t>Sector review (NTRA general spectrum policy)</t>
  </si>
  <si>
    <t>https://www.tra.gov.eg/en/</t>
  </si>
  <si>
    <t>No evidence of spectrum specifically allocated for rural/agricultural IoT use cases; Egypt's telecom regulator (NTRA) manages general spectrum allocation but ag-IoT-specific bands were not identified — assessed level 2.</t>
  </si>
  <si>
    <t>4.13</t>
  </si>
  <si>
    <t>Responsible AI principles/guidelines for agriculture</t>
  </si>
  <si>
    <t>Egypt National AI Strategy (2nd edition) - general responsible AI provisions</t>
  </si>
  <si>
    <t>https://v45.diplomacy.edu/resource/egypts-national-ai-strategy-second-edition-2025-2030</t>
  </si>
  <si>
    <t>Egypt's National AI Strategy 2nd edition includes general responsible-AI/governance provisions but no agriculture-sector-specific responsible AI guidelines were identified — assessed level 3 (general framework exists, not sector-tailored).</t>
  </si>
  <si>
    <t>5.1</t>
  </si>
  <si>
    <t>Mean years of schooling (adults 25+)</t>
  </si>
  <si>
    <t>UNDP Human Development Report 2025 (Egypt country insights)</t>
  </si>
  <si>
    <t>https://hdr.undp.org/data-center/country-insights</t>
  </si>
  <si>
    <t>Estimate drawn from UNDP HDR country insights components underlying Egypt's HDI (0.754); precise mean-years-of-schooling figure should be verified directly against the HDR statistical annex if higher precision is required.</t>
  </si>
  <si>
    <t>5.2</t>
  </si>
  <si>
    <t>Adult literacy rate (% age 15+)</t>
  </si>
  <si>
    <t>World Bank WDI (SE.ADT.LITR.ZS)</t>
  </si>
  <si>
    <t>https://api.worldbank.org/v2/country/EGY/indicator/SE.ADT.LITR.ZS?format=json</t>
  </si>
  <si>
    <t>Most recent WDI adult literacy rate for Egypt.</t>
  </si>
  <si>
    <t>5.3</t>
  </si>
  <si>
    <t>Tertiary enrollment in STEM fields (% gross)</t>
  </si>
  <si>
    <t>World Bank WDI (SE.TER.ENRR, overall tertiary enrollment)</t>
  </si>
  <si>
    <t>https://api.worldbank.org/v2/country/EGY/indicator/SE.TER.ENRR?format=json</t>
  </si>
  <si>
    <t>WDI provides overall gross tertiary enrollment (38.04%), not STEM-specific; no disaggregated STEM tertiary enrollment figure for Egypt was located, so this is a proxy — confidence downgraded to Low for the STEM-specific claim.</t>
  </si>
  <si>
    <t>5.4</t>
  </si>
  <si>
    <t>Digital literacy among farmers (%)</t>
  </si>
  <si>
    <t>~46-48% face awareness/literacy barriers (i.e., roughly half of farmers report low digital literacy as a key adoption barrier)</t>
  </si>
  <si>
    <t>CGIAR digital literacy training study (IFPRI, Minya/Beni Suef)</t>
  </si>
  <si>
    <t>https://cgspace.cgiar.org/server/api/core/bitstreams/81b8d4be-61c7-470a-9b12-52a0c51d2d4c/content</t>
  </si>
  <si>
    <t>CGIAR/IFPRI baseline survey of Egyptian smallholders found 52% cited general digital literacy as a key adoption challenge and 54% cited lack of awareness of digital applications; a related Journal of Ecohumanism Beni Suef survey found 53.9% of farmers unfamiliar with ICT/IoT tools — consistent picture of substantial digital literacy gaps, not a single official national rate.</t>
  </si>
  <si>
    <t>5.5</t>
  </si>
  <si>
    <t>Extension workers trained in digital tools (%)</t>
  </si>
  <si>
    <t>GFRAS Egypt country profile; GIZ Morshed Zaki pilot</t>
  </si>
  <si>
    <t>https://www.g-fras.org/en/world-wide-extension-study/africa/northern-africa/egypt.html</t>
  </si>
  <si>
    <t>CORE GATE. Egypt has ~7,421 public extension staff nationally (GFRAS); digital-tool training is occurring through specific donor-backed pilots (e.g., GIZ's 'Morshed Zaki' AI chatbot prototype, 2025-2026) but no evidence of comprehensive, system-wide digital training coverage across all extension workers — assessed level 3 (partial/pilot-stage).</t>
  </si>
  <si>
    <t>5.6</t>
  </si>
  <si>
    <t>Farmer-to-digital-extension-worker ratio</t>
  </si>
  <si>
    <t>~1 extension worker per 200 families / 500 feddans (general ratio; digital-specific ratio far higher/unquantified)</t>
  </si>
  <si>
    <t>GFRAS Egypt country profile; CIHEAM 2012</t>
  </si>
  <si>
    <t>GFRAS/CIHEAM data show a standard extension design ratio of one worker per ~200 families or 500 feddans (200 ha), with a total national extension workforce of only ~6,604-7,421 against ~4 million agricultural holdings (2020 census) — implying a much higher effective ratio in practice (~540:1) and an even sparser ratio for workers specifically trained in digital tools, which was not separately quantified.</t>
  </si>
  <si>
    <t>5.7</t>
  </si>
  <si>
    <t>Dedicated digital/AI units in Ministry of Agriculture</t>
  </si>
  <si>
    <t>Zawya 2021 / SIS.gov.eg 2025 - MALR Digital Transformation Unit</t>
  </si>
  <si>
    <t>https://www.zawya.com/en/business/egyptian-government-reviews-digital-transformation-projects-in-agricultural-sector-sed7vbfx</t>
  </si>
  <si>
    <t>CORE GATE. MALR has an established Digital Transformation Unit (referenced in 2021 reporting, still active per Sept 2025 SIS review) coordinating joint projects with MCIT — assessed level 4 (dedicated unit with sustained, multi-year activity).</t>
  </si>
  <si>
    <t>5.8</t>
  </si>
  <si>
    <t>University programs in agtech/digital agriculture</t>
  </si>
  <si>
    <t>No dedicated university degree/certificate program specifically in agtech/digital agriculture was identified for Egypt in this search; general agricultural faculties exist at Cairo University, Ain Shams, and others, but digital-agriculture-specific curricula were not confirmed — assessed level 2.</t>
  </si>
  <si>
    <t>5.9</t>
  </si>
  <si>
    <t>Data science/AI training programs for agriculture</t>
  </si>
  <si>
    <t>Sector review (general AI training exists, not ag-specific)</t>
  </si>
  <si>
    <t>Egypt has broad national AI capacity-building efforts (National AI Strategy, ITIDA/TIEC training programs) but no agriculture-sector-specific data science/AI training program was identified — assessed level 2.</t>
  </si>
  <si>
    <t>5.10</t>
  </si>
  <si>
    <t>Digital skills training reach (% of farmer population per year)</t>
  </si>
  <si>
    <t>~3,332-4,000 farmers per program cycle (GIZ AIP/CGIAR pilots in Minya and Beni Suef) — a small fraction of Egypt's ~4 million agricultural holdings</t>
  </si>
  <si>
    <t>GIZ Agricultural Innovation Project / CGIAR-IFPRI digital literacy study</t>
  </si>
  <si>
    <t>https://www.linkedin.com/posts/gizegypt_utilizing-communication-for-agricultural-activity-7211322361466208256-hpFX</t>
  </si>
  <si>
    <t>GIZ's Agricultural Innovation Project (AIP) trained ~30 local trainers and reached a baseline sample of ~3,332-4,000 farmers across Minya and Beni Suef governorates (2023-2024); this is a donor-funded pilot reach, not a national percentage — implies well under 1% of Egypt's ~4 million agricultural holdings are reached annually through documented programs.</t>
  </si>
  <si>
    <t>5.11</t>
  </si>
  <si>
    <t>Institutional digital maturity of key agricultural agencies</t>
  </si>
  <si>
    <t>Composite assessment from MALR/MCIT project reviews</t>
  </si>
  <si>
    <t>Based on evidence of an active Digital Transformation Unit, Farmer Card/Meeza integration, satellite crop-mapping, and recurring MALR-MCIT coordination, MALR shows moderate-to-good institutional digital maturity but not yet fully integrated/data-driven operations across all agencies — assessed level 3.</t>
  </si>
  <si>
    <t>5.12</t>
  </si>
  <si>
    <t>Gender balance in digital agriculture workforce</t>
  </si>
  <si>
    <t>JICA Gender Profile Egypt 2018 / CAWTAR Gender Assessment</t>
  </si>
  <si>
    <t>https://www.jica.go.jp/activities/issues/gender/reports/__icsFiles/afieldfile/2025/01/20/Egypt_English2018.pdf</t>
  </si>
  <si>
    <t>Female agricultural extension officers make up only ~3.9% of total extension staff per JICA (2018, citing 2011 administrative data) and CAWTAR gender assessment (&lt;4%); used here as the best available proxy for gender balance in the (extension-heavy) digital agriculture workforce given the absence of a digital-agriculture-specific gender breakdown. Older CIHEAM 2012 data show a higher ~18.9% female share, indicating some inconsistency across sources/years.</t>
  </si>
  <si>
    <t>5.13</t>
  </si>
  <si>
    <t>Gender parity in extension services (% female extension officers)</t>
  </si>
  <si>
    <t>New quantitative indicator (thresholds L2=10, L3=25, L4=40, L5=50). Female extension officers comprise only ~3.9% of Egypt's total extension workforce per JICA (2018, citing 2011 data) and CAWTAR's gender assessment (&lt;4%), placing Egypt below even the L2 threshold (10%) — a binding gender-equity constraint. Note: older CIHEAM 2012 data show a higher 18.9% figure, and GFRAS aggregate figures are inconsistent across sources/years, but the most recent dedicated gender-assessment sources converge on ~3.9-4%.</t>
  </si>
  <si>
    <t>6.1</t>
  </si>
  <si>
    <t>Global Innovation Index (GII) score</t>
  </si>
  <si>
    <t>WIPO Global Innovation Index 2024</t>
  </si>
  <si>
    <t>https://www.wipo.int/edocs/gii-ranking/2024/eg.pdf</t>
  </si>
  <si>
    <t>Egypt scored 23.7 (down from 24.2 in 2023) and ranked 86th of 133 economies in the WIPO GII 2024; Innovation Inputs rank 95th, Innovation Outputs rank 80th.</t>
  </si>
  <si>
    <t>6.2</t>
  </si>
  <si>
    <t>R&amp;D expenditure (% of GDP)</t>
  </si>
  <si>
    <t>World Bank WDI (GB.XPD.RSDV.GD.ZS)</t>
  </si>
  <si>
    <t>https://api.worldbank.org/v2/country/EGY/indicator/GB.XPD.RSDV.GD.ZS?format=json</t>
  </si>
  <si>
    <t>Most recent WDI R&amp;D expenditure figure for Egypt (1.02% of GDP).</t>
  </si>
  <si>
    <t>6.3</t>
  </si>
  <si>
    <t>Business Ready (B-READY) score</t>
  </si>
  <si>
    <t>World Bank B-READY (Egypt not in initial 50-economy cohort; regional MENA context used)</t>
  </si>
  <si>
    <t>https://www.worldbank.org/en/businessready/data</t>
  </si>
  <si>
    <t>The World Bank's B-READY 2024 report initially covered only 50 economies, and no populated overall B-READY score specifically for Egypt could be confirmed from the World Bank Open Data pages fetched in this session; Egypt's predecessor 'Doing Business' ranking (now discontinued) placed it in the lower-middle range regionally — assessed a cautious level 3 pending direct confirmation of Egypt's inclusion and score in a later B-READY cohort/update.</t>
  </si>
  <si>
    <t>6.4</t>
  </si>
  <si>
    <t>Active agtech startups/firms</t>
  </si>
  <si>
    <t>Dozens (e.g., Mozare3, AgriCash, Mahsoly-adjacent ventures, plus F6S-listed cohort)</t>
  </si>
  <si>
    <t>F6S AgriTech Egypt directory; sector market maps</t>
  </si>
  <si>
    <t>https://www.f6s.com/companies/agritech/egypt/co</t>
  </si>
  <si>
    <t>F6S lists a cohort of agtech companies in Egypt (12+ notable ones as of August 2026); combined with Mozare3, AgriCash, Mahsoly and others identified in market maps, indicates a growing but still-small ecosystem — assessed level 3.</t>
  </si>
  <si>
    <t>6.5</t>
  </si>
  <si>
    <t>Venture capital/investment in agtech (annual USD)</t>
  </si>
  <si>
    <t>~$1.1M+ (Mozare3 pre-seed, 2021) plus subsequent seed rounds (AgriCash, 2025)</t>
  </si>
  <si>
    <t>EgyptInnovate; Business Monthly Egypt</t>
  </si>
  <si>
    <t>https://egyptinnovate.com/en/%D8%A3%D8%AE%D8%A8%D8%A7%D8%B1/agricash-secures-seed-funding-scale-ai-driven-agri-fintech-platform-egypt-and-beyond</t>
  </si>
  <si>
    <t>No aggregated annual agtech VC investment total for Egypt was found; only individual deal data points are available (Mozare3 ~$1.1M pre-seed 2021 plus later Series A; AgriCash seed round 2025, amount undisclosed) — treated as illustrative rather than a comprehensive annual total.</t>
  </si>
  <si>
    <t>6.6</t>
  </si>
  <si>
    <t>Agtech accelerators/incubators</t>
  </si>
  <si>
    <t>Flat6Labs (Ebtekar, Themar programs); AUC Venture Lab; Nilepreneurs</t>
  </si>
  <si>
    <t>https://flat6labs.com/programs-type/programs-for-entrepreneurs/</t>
  </si>
  <si>
    <t>Egypt has multiple active, named agtech-focused accelerator programs: Flat6Labs' 'Ebtekar Agri Digital Acceleration Program' (with GIZ) and 'Themar AgriTech Acceleration Program' (with SANAD), plus AUC Venture Lab and Nilepreneurs Innovation Hubs supporting agritech — assessed level 4 (multiple established programs).</t>
  </si>
  <si>
    <t>6.7</t>
  </si>
  <si>
    <t>Agribusiness firms using AI/ML in operations (%)</t>
  </si>
  <si>
    <t>Sector review (qualitative; no survey-based percentage located)</t>
  </si>
  <si>
    <t>No survey-based percentage of Egyptian agribusiness firms using AI/ML was located; qualitative evidence (AgriCash's AI-driven agri-fintech, Hudhud's AI pest ID) shows early adopters exist but this is not representative of the wider agribusiness sector — assessed level 2 (early/niche adoption).</t>
  </si>
  <si>
    <t>6.8</t>
  </si>
  <si>
    <t>Regulatory sandboxes for agtech/fintech</t>
  </si>
  <si>
    <t>Central Bank of Egypt fintech/agri-finance regulation</t>
  </si>
  <si>
    <t>https://www.kenresearch.com/egypt-ai-in-mobile-agri-lending-platforms-market</t>
  </si>
  <si>
    <t>CBE operates a broader fintech regulatory sandbox and issued a 2023 'Financial Inclusion for Agricultural Sector Regulation' requiring licensed institutions to allocate ≥10% of loan portfolios to smallholders — supportive regulatory environment for agri-fintech, though not an agtech-specific sandbox — assessed level 3.</t>
  </si>
  <si>
    <t>6.9</t>
  </si>
  <si>
    <t>Public-private partnerships in digital agriculture</t>
  </si>
  <si>
    <t>MALR-e-finance 'Agri Egypt' network; ABE-fintech partnerships</t>
  </si>
  <si>
    <t>https://www.dailynewsegypt.com/2021/07/14/agriculture-ministry-e-finance-launch-ai-powered-agri-egypt-digital-network/</t>
  </si>
  <si>
    <t>Multiple active PPPs identified: MALR + e-finance 'Agri Egypt' AI-powered digital network (2021); Agricultural Bank of Egypt links with Mozare3 and other agri-fintechs; CBE Nclude Fund disbursements to agrifood-payment fintechs — assessed level 4.</t>
  </si>
  <si>
    <t>6.10</t>
  </si>
  <si>
    <t>Government grants/funding for agtech innovation (annual USD)</t>
  </si>
  <si>
    <t>Sector review (Nilepreneurs, SANAD-backed programs; no aggregated annual total found)</t>
  </si>
  <si>
    <t>https://startupegypt.org.eg/blog/top-startup-accelerators-egypt</t>
  </si>
  <si>
    <t>No aggregated annual dollar figure for government grants/funding specifically targeting agtech innovation was located; government-backed vehicles exist (Nilepreneurs Innovation Hubs grants, SANAD Entrepreneurship Academy co-funded Flat6Labs programs) but without a disclosed dedicated agtech allocation — assessed level 2.</t>
  </si>
  <si>
    <t>6.11</t>
  </si>
  <si>
    <t>Digital financial services platforms for agriculture</t>
  </si>
  <si>
    <t>Mozare3, AgriCash, Meeza Farmer Card, ABE</t>
  </si>
  <si>
    <t>https://businessmonthlyeg.com/from-fields-to-fintech-agritech-transforms-egypts-farming-sector/</t>
  </si>
  <si>
    <t>Multiple operating digital financial-services platforms for agriculture: Mozare3 (contract farming + digital payments, ~6,300 farmers financed, 97% repayment rate), AgriCash (AI-driven BNPL agri-fintech), and the Meeza Farmer Card linked to Agricultural Bank of Egypt lending — assessed level 4.</t>
  </si>
  <si>
    <t>6.12</t>
  </si>
  <si>
    <t>Digital public goods adopted in agriculture</t>
  </si>
  <si>
    <t>El Mufeed (FAO/MALR); Hudhud</t>
  </si>
  <si>
    <t>https://egypt.un.org/en/106025-fao-malr-invite-extension-agents-use-%E2%80%9Cel-mufeed%E2%80%9D-app-and-disseminate-among-targeted-groups</t>
  </si>
  <si>
    <t>El Mufeed (FAO/MALR digital advisory tool) and Hudhud (AI pest-ID app) function as quasi-public digital goods for farmers and extension agents, though neither is formally registered as a global 'Digital Public Good' (DPGA registry) as far as identified — assessed level 3.</t>
  </si>
  <si>
    <t>6.13</t>
  </si>
  <si>
    <t>SME access to digital agriculture tools/platforms (%)</t>
  </si>
  <si>
    <t>Sector review (no SME-specific percentage located)</t>
  </si>
  <si>
    <t>No percentage figure for SME (as distinct from smallholder/individual farmer) access to digital agriculture tools/platforms was located; assessed level 2 given the broader agtech ecosystem remains small and platform access for formal agribusiness SMEs was not specifically documented.</t>
  </si>
  <si>
    <t>6.14</t>
  </si>
  <si>
    <t>Agri-fintech / mobile-money rails accessible to smallholders</t>
  </si>
  <si>
    <t>Mozare3, AgriCash, Meeza Farmer Card, CBE 2023 regulation, GSMA Mobile Money Regulatory Index</t>
  </si>
  <si>
    <t>https://www.tra.gov.eg/en/the-gsma-global-system-for-mobile-communications-association-has-released-its-annual-regulatory-index-for-mobile-money-for-2024-egypts-national-telecom-regulatory-authority-ntra-advanced/</t>
  </si>
  <si>
    <t>CORE GATE (new indicator). Egypt has multiple operating agri-fintech rails: Mozare3 (contract farming + digital payments, ~6,300 smallholders financed, 97% repayment), AgriCash (AI-driven BNPL agri-fintech), the Meeza Farmer Card linked to Agricultural Bank of Egypt, and a 2023 Central Bank of Egypt regulation requiring licensed institutions to allocate ≥10% of loan portfolios to smallholder farmers. Egypt also ranks 6th globally (of 90 countries) on GSMA's 2024 Mobile Money Regulatory Index, up 39 places, with a score of 93/100 — strong and rapidly improving rails, assessed level 4 (short of level 5 given mobile money account ownership is still only 15.6% of adults).</t>
  </si>
  <si>
    <t>7.1</t>
  </si>
  <si>
    <t>AI-related scientific publications per million population</t>
  </si>
  <si>
    <t>OECD AI Review of Egypt (2024), reportlinker AI publication count</t>
  </si>
  <si>
    <t>https://www.oecd.org/content/dam/oecd/en/publications/reports/2024/05/oecd-artificial-intelligence-review-of-egypt_3c437131/2a282726-en.pdf</t>
  </si>
  <si>
    <t>OECD's 2024 AI Review of Egypt confirms Egyptian AI publications have grown steadily over the past decade and that Egypt compares favorably per capita with Brazil, India, and Thailand, though it lags Israel and Qatar; a separate industry dataset (ReportLinker) estimates ~136.7 AI scientific publications in Egypt for 2023. Dividing by Egypt's ~113 million population yields an approximate rate of ~1.2 AI publications per million population (2023) — a derived estimate, not a directly published per-capita figure, so confidence is Medium.</t>
  </si>
  <si>
    <t>7.2</t>
  </si>
  <si>
    <t>AI systems deployed in public agricultural sector</t>
  </si>
  <si>
    <t>Hudhud AI pest-ID app; MALR-MCIT satellite/AI crop-mapping project</t>
  </si>
  <si>
    <t>https://farmersreviewafrica.com/egypt-launches-ai-enabled-system-to-enhance-agriculture-process/</t>
  </si>
  <si>
    <t>Egypt has at least two operating public-sector AI deployments in agriculture: Hudhud (AI pest/disease identification via smartphone photo, launched Dec 2021) and a satellite-imagery/AI crop-mapping and yield-forecasting project (reviewed Sept 2025) — assessed level 4.</t>
  </si>
  <si>
    <t>7.3</t>
  </si>
  <si>
    <t>AI-enabled advisory services (farmer reach %)</t>
  </si>
  <si>
    <t>Hudhud currently accessible to a select group of program-participating farmers (not yet national scale)</t>
  </si>
  <si>
    <t>MENA Observatory AI report</t>
  </si>
  <si>
    <t>https://menaobservatory.ai/storage/CHOmuyRvzMEC5LmRtmNQMZHpjlZbEM-metaQTJLNEQgLSBNRU5BIEFJIC0gRm9vZCBTZWN1cml0eSAtIEVneXB0IC0gVjIucGRm-.pdf</t>
  </si>
  <si>
    <t>MENA AI Observatory notes Hudhud remains accessible only to a select group of farmers in government programs rather than broad national reach; no percentage figure of total farmer population reached was found.</t>
  </si>
  <si>
    <t>7.4</t>
  </si>
  <si>
    <t>AI for crop/pest/disease detection and monitoring</t>
  </si>
  <si>
    <t>Hudhud app; MALR-MCIT satellite crop project</t>
  </si>
  <si>
    <t>Hudhud (AI-powered pest/disease identification via image recognition) and the satellite-based AI crop-mapping/pest-monitoring project are both actively operating — assessed level 4.</t>
  </si>
  <si>
    <t>7.5</t>
  </si>
  <si>
    <t>AI in agricultural finance (credit scoring, insurance)</t>
  </si>
  <si>
    <t>AgriCash (AI-driven agri-fintech BNPL)</t>
  </si>
  <si>
    <t>AgriCash explicitly markets itself as an 'AI-driven agri-fintech' platform for BNPL agricultural finance, targeting EGP 500M in transaction volume in 2025 — an active, named deployment of AI in ag-finance, assessed level 4.</t>
  </si>
  <si>
    <t>7.6</t>
  </si>
  <si>
    <t>AI for supply chain optimization and traceability</t>
  </si>
  <si>
    <t>No specific evidence of AI-based agricultural supply-chain optimization or traceability systems in Egypt was identified beyond general price-monitoring tools (Mahsoly, which is data-driven but not confirmed as AI/ML-based) — assessed level 2.</t>
  </si>
  <si>
    <t>7.7</t>
  </si>
  <si>
    <t>AI for climate forecasting and agricultural risk management</t>
  </si>
  <si>
    <t>DAIRS climate early-warning system (ICARDA review)</t>
  </si>
  <si>
    <t>DAIRS climate early-warning system is under development per ICARDA's 2025 review; unclear how much AI/ML (versus conventional forecasting) underpins it — assessed level 3.</t>
  </si>
  <si>
    <t>7.8</t>
  </si>
  <si>
    <t>AI talent in agriculture sector</t>
  </si>
  <si>
    <t>Sector review (qualitative; no headcount figure located)</t>
  </si>
  <si>
    <t>No headcount or percentage figure for AI-specific talent employed within Egypt's agriculture sector was located; a small number of named AI-driven ventures (Hudhud, AgriCash, satellite crop-mapping project) imply nascent but very limited specialized AI talent concentration — assessed level 2.</t>
  </si>
  <si>
    <t>7.9</t>
  </si>
  <si>
    <t>Cybersecurity of agricultural digital systems</t>
  </si>
  <si>
    <t>Inferred from Egypt's national ITU GCI score (general, not ag-specific)</t>
  </si>
  <si>
    <t>CORE GATE. Egypt's overall national cybersecurity posture is very strong (ITU GCI 2024: 100/100, Tier 1), but no sector-specific evidence was found confirming that agricultural digital systems (Farmer Card, Meeza, MALR platforms) have undergone dedicated cybersecurity assessment or hardening — assessed level 3 (strong national baseline, unconfirmed sector-specific application) rather than 5.</t>
  </si>
  <si>
    <t>7.10</t>
  </si>
  <si>
    <t>Explainability and transparency of AI systems in agriculture</t>
  </si>
  <si>
    <t>No evidence located regarding explainability/transparency practices for any Egyptian agricultural AI system (e.g., Hudhud's model transparency) — assessed level 2 (not yet a defined practice).</t>
  </si>
  <si>
    <t>7.11</t>
  </si>
  <si>
    <t>Bias monitoring and mitigation in agricultural AI</t>
  </si>
  <si>
    <t>No evidence located regarding bias monitoring/mitigation practices for Egyptian agricultural AI systems — assessed level 2.</t>
  </si>
  <si>
    <t>7.12</t>
  </si>
  <si>
    <t>Farmer consent and data rights in AI systems</t>
  </si>
  <si>
    <t>PDPL Law 151/2020 (general legal basis, not AI/ag-specific)</t>
  </si>
  <si>
    <t>CORE GATE. PDPL 151/2020 establishes a general legal basis for consent and data-subject rights that would apply to farmer data collected by AI systems (e.g., Hudhud photo uploads), but no agriculture-specific or AI-specific consent framework was identified — assessed level 3 (general legal coverage, sector-specific implementation unconfirmed).</t>
  </si>
  <si>
    <t>8.1</t>
  </si>
  <si>
    <t>Prevalence of undernourishment (% of population)</t>
  </si>
  <si>
    <t>World Bank WDI (SN.ITK.DEFC.ZS)</t>
  </si>
  <si>
    <t>https://api.worldbank.org/v2/country/EGY/indicator/SN.ITK.DEFC.ZS?format=json</t>
  </si>
  <si>
    <t>Most recent WDI undernourishment prevalence figure for Egypt.</t>
  </si>
  <si>
    <t>8.2</t>
  </si>
  <si>
    <t>Account ownership, female (% age 15+)</t>
  </si>
  <si>
    <t>World Bank WDI / Global Findex (FX.OWN.TOTL.FE.ZS)</t>
  </si>
  <si>
    <t>https://api.worldbank.org/v2/country/EGY/indicator/FX.OWN.TOTL.FE.ZS?format=json</t>
  </si>
  <si>
    <t>Global Findex 2024 data via WDI.</t>
  </si>
  <si>
    <t>8.3</t>
  </si>
  <si>
    <t>Gender gap in account ownership (male % minus female %)</t>
  </si>
  <si>
    <t>World Bank WDI / Global Findex</t>
  </si>
  <si>
    <t>https://api.worldbank.org/v2/country/EGY/indicator/FX.OWN.TOTL.MA.ZS?format=json</t>
  </si>
  <si>
    <t>Calculated as male account ownership (45.95%) minus female account ownership (40.21%) using 2024 Global Findex data via WDI.</t>
  </si>
  <si>
    <t>8.4</t>
  </si>
  <si>
    <t>Mobile money account (% age 15+)</t>
  </si>
  <si>
    <t>World Bank Global Findex (via FinStatGlobe compilation)</t>
  </si>
  <si>
    <t>https://data.finstatglobe.com/egypt/mobile-money-account-statistics</t>
  </si>
  <si>
    <t>Global Findex 2024 data show mobile money account ownership rising sharply to 15.6% of adults, up from 2.9% in 2021 — a 12.7 percentage-point jump; Egypt ranks 6th globally on GSMA's 2024 Mobile Money Regulatory Index (score 93/100, up from 80 in 2023), reflecting fast-improving regulatory support.</t>
  </si>
  <si>
    <t>8.5</t>
  </si>
  <si>
    <t>Women who own land (% of agricultural holders)</t>
  </si>
  <si>
    <t>FAO Gender and Land Rights Database / FAO Country Gender Assessment Egypt</t>
  </si>
  <si>
    <t>https://openknowledge.fao.org/server/api/core/bitstreams/7a31c4cf-4117-45fc-84fd-b51635c2a62a/content</t>
  </si>
  <si>
    <t>FAO data (2015, still the most commonly cited figure as of recent FAO/GIZ reporting) show only 5.2% of Egypt's total agricultural land area is owned by women, and only ~2% of Egyptian women own land at all — one of the lowest rates in the Arab world (regional average ~7%). A 1999 agricultural census figure shows 5.2% of agricultural holders were female, consistent with the land-area figure. Data is dated (exceeds typical MaxAge) so confidence is Medium rather than High.</t>
  </si>
  <si>
    <t>8.6</t>
  </si>
  <si>
    <t>Gender gap in mobile phone ownership (percentage points)</t>
  </si>
  <si>
    <t>GSMA Mobile Gender Gap Report 2023 (2022 survey data)</t>
  </si>
  <si>
    <t>https://aimg8.dlssyht.cn/u/551001/ueditor/file/276/551001/1688461001299595.pdf</t>
  </si>
  <si>
    <t>GSMA's Mobile Gender Gap Report 2023 (based on 2022 consumer survey data) finds Egypt is one of only two surveyed countries (with Mexico) where women's mobile phone ownership (83%) slightly exceeds men's (81%), i.e., a small negative gender gap of about -2 percentage points in ownership — Egypt's mobile internet use gender gap is a more typical +12 percentage points (65% men vs. 57% women) in the same survey.</t>
  </si>
  <si>
    <t>8.7</t>
  </si>
  <si>
    <t>Women using digital agricultural services (% of women farmers)</t>
  </si>
  <si>
    <t>Sector review (no specific figure located)</t>
  </si>
  <si>
    <t>No figure for women farmers' use of digital agricultural services specifically was located; given very low female land ownership (5.2%, indicator 8.5) and low female extension-officer representation (indicator C4.14), women's direct engagement with formal digital ag services is likely constrained — assessed level 2 as an inferred estimate.</t>
  </si>
  <si>
    <t>8.8</t>
  </si>
  <si>
    <t>Youth (under 35) using digital agricultural services (%)</t>
  </si>
  <si>
    <t>Sector review (no specific figure located; inferred from general youth smartphone/digital adoption trends)</t>
  </si>
  <si>
    <t>No age-disaggregated figure for youth use of digital agricultural services in Egypt was located; given generally higher smartphone/internet adoption among younger cohorts nationally (Digital 2025 Egypt report), youth engagement with digital ag services is plausibly above the all-farmer average — assessed level 3 as an inferred estimate, not a measured figure.</t>
  </si>
  <si>
    <t>8.9</t>
  </si>
  <si>
    <t>Smallholder farmers reached by digital services (% of total)</t>
  </si>
  <si>
    <t>Composite from platform user counts vs. ~4M ag holdings (2020 census)</t>
  </si>
  <si>
    <t>Individual platforms report meaningful user bases (Mahsoly and AlMorshed Poultry each 100,000+; Mozare3 ~6,300 financed farmers) against an estimated ~4 million agricultural holdings nationally (2020 Agricultural Census), implying reach still well under half of smallholders — assessed level 3 (growing but partial reach), not a precise percentage.</t>
  </si>
  <si>
    <t>8.10</t>
  </si>
  <si>
    <t>Affordability of digital agriculture services for poorest quintile</t>
  </si>
  <si>
    <t>Sector review (general affordability context: mobile broadband basket ~1.2% GNI, but ag-service-specific pricing unknown)</t>
  </si>
  <si>
    <t>General mobile connectivity is affordable relative to GNI per capita, but no evidence on the specific affordability of paid digital agriculture services (e.g., premium advisory subscriptions) for the poorest quintile of farmers was located — assessed level 2.</t>
  </si>
  <si>
    <t>8.11</t>
  </si>
  <si>
    <t>Services available in local languages (% of major platforms)</t>
  </si>
  <si>
    <t>High — most major platforms (Hudhud, El Mufeed, Mazra3ty, Fila7a) are Arabic-language</t>
  </si>
  <si>
    <t>Multiple platform reviews (ICARDA, FAO, SIS.gov.eg)</t>
  </si>
  <si>
    <t>All major identified digital agriculture platforms in Egypt (Hudhud, El Mufeed, Mazra3ty, Fila7a) are delivered in Arabic, the dominant local language for farmers, though no precise percentage-of-platforms metric exists — qualitative assessment only.</t>
  </si>
  <si>
    <t>8.12</t>
  </si>
  <si>
    <t>Documented yield improvement from digital tools (%)</t>
  </si>
  <si>
    <t>Anchored evidence-quality rubric</t>
  </si>
  <si>
    <t>Sector review (utilization gains documented, yield gains not isolated)</t>
  </si>
  <si>
    <t>https://cgspace.cgiar.org/server/api/core/bitstreams/d73ebd26-83c6-4404-b19f-f1ceaf2af570/content</t>
  </si>
  <si>
    <t>CGIAR/IFPRI digital-literacy-training research documents a 20-26 percentage-point increase in digital tool uptake/utilization from training interventions, but does not isolate or quantify a resulting crop-yield improvement — assessed level 2 (utilization gains proven, yield linkage not yet documented).</t>
  </si>
  <si>
    <t>8.13</t>
  </si>
  <si>
    <t>Documented income improvement from digital tools (%)</t>
  </si>
  <si>
    <t>Sector review (financial performance proxy only; no direct income-improvement study)</t>
  </si>
  <si>
    <t>No documented, quantified income-improvement figure attributable specifically to digital tool adoption in Egypt was located; Mozare3's 97% loan repayment rate among ~6,300 financed smallholders is a related but distinct financial-performance metric, not a direct income-improvement measure — assessed level 2 pending a dedicated impact study.</t>
  </si>
  <si>
    <t>8.14</t>
  </si>
  <si>
    <t>Farmers using digital climate services (%)</t>
  </si>
  <si>
    <t>Sector review (DAIRS system exists; no user-reach percentage found)</t>
  </si>
  <si>
    <t>No national percentage figure for farmer use of digital climate/weather advisory services was located; the DAIRS climate early-warning system is under development per ICARDA's 2025 review, implying limited current reach — assessed level 2.</t>
  </si>
  <si>
    <t>8.15</t>
  </si>
  <si>
    <t>Environmental sustainability of digital agriculture systems</t>
  </si>
  <si>
    <t>Qualitative assessment (SADS 2030 climate-smart ambitions; no dedicated e-waste/energy data)</t>
  </si>
  <si>
    <t>SADS 2030 references climate-smart and water-efficiency goals that intersect with digital tools (e.g., satellite monitoring for water use), but no dedicated assessment of the environmental footprint (energy use, e-waste) of Egypt's digital agriculture systems themselves was located — assessed level 3 based on stated policy intent rather than measured outcomes.</t>
  </si>
  <si>
    <t>8.16</t>
  </si>
  <si>
    <t>Gender-disaggregated adoption of digital advisories</t>
  </si>
  <si>
    <t>New anchored rubric indicator. No study found that reports adoption of digital agricultural advisory services (Hudhud, El Mufeed, Mazra3ty, etc.) disaggregated by farmer gender; general digital-literacy-gap studies (CGIAR/IFPRI) do not break results out by gender either — assessed level 2 (data and likely practice gap) pending a dedicated gender-disaggregated adoption study.</t>
  </si>
  <si>
    <t>8.17</t>
  </si>
  <si>
    <t>Climate advisory reach (% farmers receiving actionable seasonal advisories)</t>
  </si>
  <si>
    <t>Sector review (DAIRS under development; no reach statistics found)</t>
  </si>
  <si>
    <t>New quantitative indicator (thresholds L2=20, L3=40, L4=60, L5=80). No percentage figure for the share of Egyptian farmers receiving actionable seasonal climate advisories was located; the DAIRS climate early-warning system is described by ICARDA (2025) as still under development, implying reach currently below the L2 threshold (20%) — assessed level 1.</t>
  </si>
  <si>
    <t>[Country name] — DAMM v1.4 assessment</t>
  </si>
  <si>
    <t>Indicators (102)</t>
  </si>
  <si>
    <t>Pillar · role · method · thresholds. Read-only reference for scoring sheets.</t>
  </si>
  <si>
    <t>Pillar name</t>
  </si>
  <si>
    <t>Direction</t>
  </si>
  <si>
    <t>Max age (yrs)</t>
  </si>
  <si>
    <t>L2</t>
  </si>
  <si>
    <t>L3</t>
  </si>
  <si>
    <t>L4</t>
  </si>
  <si>
    <t>L5</t>
  </si>
  <si>
    <t>Rubric type</t>
  </si>
  <si>
    <t>C0: Agricultural context &amp; need</t>
  </si>
  <si>
    <t>Global</t>
  </si>
  <si>
    <t>Context only</t>
  </si>
  <si>
    <t>Local</t>
  </si>
  <si>
    <t>C4: Human &amp; institutional capacity</t>
  </si>
  <si>
    <t>Anchored rubric</t>
  </si>
  <si>
    <t>C1: Connectivity &amp; affordable access</t>
  </si>
  <si>
    <t>Numeric threshold</t>
  </si>
  <si>
    <t>C2: Data infrastructure &amp; DPI</t>
  </si>
  <si>
    <t>C3: Policy, governance &amp; safeguards</t>
  </si>
  <si>
    <t>E1: Innovation &amp; private sector</t>
  </si>
  <si>
    <t>E2: Responsible AI &amp; emerging tech</t>
  </si>
  <si>
    <t>O1: Inclusion, sustainability &amp; outcomes</t>
  </si>
  <si>
    <t>Written L1–L5 anchors for panel scoring. Numeric indicators show their thresholds.</t>
  </si>
  <si>
    <t>Level 1</t>
  </si>
  <si>
    <t>Level 2</t>
  </si>
  <si>
    <t>Level 3</t>
  </si>
  <si>
    <t>Level 4</t>
  </si>
  <si>
    <t>Level 5</t>
  </si>
  <si>
    <t>Profile the observed level and trend; do not interpret as digital maturity.</t>
  </si>
  <si>
    <t>Profile only.</t>
  </si>
  <si>
    <t>No credible national innovation/extension programs with digital component capability, or isolated informal activity only.</t>
  </si>
  <si>
    <t>Pilot or ad hoc national innovation/extension programs with digital component; narrow coverage, unclear ownership or donor dependence.</t>
  </si>
  <si>
    <t>Operational national innovation/extension programs with digital component with defined ownership and partial coverage; adoption or interoperability gaps remain.</t>
  </si>
  <si>
    <t>Scaled and funded national innovation/extension programs with digital component, with accountable governance, interoperability and broad use.</t>
  </si>
  <si>
    <t>Institutionalized, inclusive and resilient national innovation/extension programs with digital component, continuously improved and supported by verified outcomes.</t>
  </si>
  <si>
    <t>&lt; 20</t>
  </si>
  <si>
    <t>20 to &lt; 40</t>
  </si>
  <si>
    <t>40 to &lt; 60</t>
  </si>
  <si>
    <t>60 to &lt; 80</t>
  </si>
  <si>
    <t>&gt;= 80</t>
  </si>
  <si>
    <t>40 to &lt; 70</t>
  </si>
  <si>
    <t>70 to &lt; 100</t>
  </si>
  <si>
    <t>&gt;= 100</t>
  </si>
  <si>
    <t>&gt; 10</t>
  </si>
  <si>
    <t>&gt; 5 to &lt;= 10</t>
  </si>
  <si>
    <t>&gt; 2 to &lt;= 5</t>
  </si>
  <si>
    <t>&gt; 1 to &lt;= 2</t>
  </si>
  <si>
    <t>&lt;= 1</t>
  </si>
  <si>
    <t>&lt; 2</t>
  </si>
  <si>
    <t>2 to &lt; 5</t>
  </si>
  <si>
    <t>5 to &lt; 10</t>
  </si>
  <si>
    <t>10 to &lt; 25</t>
  </si>
  <si>
    <t>&gt;= 25</t>
  </si>
  <si>
    <t>No credible device financing/subsidy schemes for farmers capability, or isolated informal activity only.</t>
  </si>
  <si>
    <t>Pilot or ad hoc device financing/subsidy schemes for farmers; narrow coverage, unclear ownership or donor dependence.</t>
  </si>
  <si>
    <t>Operational device financing/subsidy schemes for farmers with defined ownership and partial coverage; adoption or interoperability gaps remain.</t>
  </si>
  <si>
    <t>Scaled and funded device financing/subsidy schemes for farmers, with accountable governance, interoperability and broad use.</t>
  </si>
  <si>
    <t>Institutionalized, inclusive and resilient device financing/subsidy schemes for farmers, continuously improved and supported by verified outcomes.</t>
  </si>
  <si>
    <t>&lt; 0.2</t>
  </si>
  <si>
    <t>0.2 to &lt; 0.4</t>
  </si>
  <si>
    <t>0.4 to &lt; 0.6</t>
  </si>
  <si>
    <t>0.6 to &lt; 0.8</t>
  </si>
  <si>
    <t>&gt;= 0.8</t>
  </si>
  <si>
    <t>No credible national farmer registry/database capability, or isolated informal activity only.</t>
  </si>
  <si>
    <t>Pilot or ad hoc national farmer registry/database; narrow coverage, unclear ownership or donor dependence.</t>
  </si>
  <si>
    <t>Operational national farmer registry/database with defined ownership and partial coverage; adoption or interoperability gaps remain.</t>
  </si>
  <si>
    <t>Scaled and funded national farmer registry/database, with accountable governance, interoperability and broad use.</t>
  </si>
  <si>
    <t>Institutionalized, inclusive and resilient national farmer registry/database, continuously improved and supported by verified outcomes.</t>
  </si>
  <si>
    <t>No credible digital land/plot registration system capability, or isolated informal activity only.</t>
  </si>
  <si>
    <t>Pilot or ad hoc digital land/plot registration system; narrow coverage, unclear ownership or donor dependence.</t>
  </si>
  <si>
    <t>Operational digital land/plot registration system with defined ownership and partial coverage; adoption or interoperability gaps remain.</t>
  </si>
  <si>
    <t>Scaled and funded digital land/plot registration system, with accountable governance, interoperability and broad use.</t>
  </si>
  <si>
    <t>Institutionalized, inclusive and resilient digital land/plot registration system, continuously improved and supported by verified outcomes.</t>
  </si>
  <si>
    <t>No credible national agricultural data portal / open data capability, or isolated informal activity only.</t>
  </si>
  <si>
    <t>Pilot or ad hoc national agricultural data portal / open data; narrow coverage, unclear ownership or donor dependence.</t>
  </si>
  <si>
    <t>Operational national agricultural data portal / open data with defined ownership and partial coverage; adoption or interoperability gaps remain.</t>
  </si>
  <si>
    <t>Scaled and funded national agricultural data portal / open data, with accountable governance, interoperability and broad use.</t>
  </si>
  <si>
    <t>Institutionalized, inclusive and resilient national agricultural data portal / open data, continuously improved and supported by verified outcomes.</t>
  </si>
  <si>
    <t>No functioning agrometeorological observation network or data access.</t>
  </si>
  <si>
    <t>Observation infrastructure exists but agriculture-relevant forecasts are not produced reliably.</t>
  </si>
  <si>
    <t>Agriculture-relevant forecasts and advisories are produced with defined ownership; dissemination reaches a minority of farming households; impact-based advisories are absent.</t>
  </si>
  <si>
    <t>Impact-based agromet advisories are produced and disseminated through channels reaching most farming areas (radio, mobile, extension), aligned to crop calendars.</t>
  </si>
  <si>
    <t>End-to-end climate services: observations, impact-based forecasts and last-mile dissemination with verified reach and farmer feedback, sustained by budget and a hydromet-agriculture agreement.</t>
  </si>
  <si>
    <t>No credible satellite/earth observation data integration capability capability, or isolated informal activity only.</t>
  </si>
  <si>
    <t>Pilot or ad hoc satellite/earth observation data integration capability; narrow coverage, unclear ownership or donor dependence.</t>
  </si>
  <si>
    <t>Operational satellite/earth observation data integration capability with defined ownership and partial coverage; adoption or interoperability gaps remain.</t>
  </si>
  <si>
    <t>Scaled and funded satellite/earth observation data integration capability, with accountable governance, interoperability and broad use.</t>
  </si>
  <si>
    <t>Institutionalized, inclusive and resilient satellite/earth observation data integration capability, continuously improved and supported by verified outcomes.</t>
  </si>
  <si>
    <t>No credible national soil map/database capability, or isolated informal activity only.</t>
  </si>
  <si>
    <t>Pilot or ad hoc national soil map/database; narrow coverage, unclear ownership or donor dependence.</t>
  </si>
  <si>
    <t>Operational national soil map/database with defined ownership and partial coverage; adoption or interoperability gaps remain.</t>
  </si>
  <si>
    <t>Scaled and funded national soil map/database, with accountable governance, interoperability and broad use.</t>
  </si>
  <si>
    <t>Institutionalized, inclusive and resilient national soil map/database, continuously improved and supported by verified outcomes.</t>
  </si>
  <si>
    <t>No credible digital agricultural market/e-commerce platforms capability, or isolated informal activity only.</t>
  </si>
  <si>
    <t>Pilot or ad hoc digital agricultural market/e-commerce platforms; narrow coverage, unclear ownership or donor dependence.</t>
  </si>
  <si>
    <t>Operational digital agricultural market/e-commerce platforms with defined ownership and partial coverage; adoption or interoperability gaps remain.</t>
  </si>
  <si>
    <t>Scaled and funded digital agricultural market/e-commerce platforms, with accountable governance, interoperability and broad use.</t>
  </si>
  <si>
    <t>Institutionalized, inclusive and resilient digital agricultural market/e-commerce platforms, continuously improved and supported by verified outcomes.</t>
  </si>
  <si>
    <t>No credible interoperability standards for agricultural data capability, or isolated informal activity only.</t>
  </si>
  <si>
    <t>Pilot or ad hoc interoperability standards for agricultural data; narrow coverage, unclear ownership or donor dependence.</t>
  </si>
  <si>
    <t>Operational interoperability standards for agricultural data with defined ownership and partial coverage; adoption or interoperability gaps remain.</t>
  </si>
  <si>
    <t>Scaled and funded interoperability standards for agricultural data, with accountable governance, interoperability and broad use.</t>
  </si>
  <si>
    <t>Institutionalized, inclusive and resilient interoperability standards for agricultural data, continuously improved and supported by verified outcomes.</t>
  </si>
  <si>
    <t>No credible ai-ready agricultural datasets capability, or isolated informal activity only.</t>
  </si>
  <si>
    <t>Pilot or ad hoc ai-ready agricultural datasets; narrow coverage, unclear ownership or donor dependence.</t>
  </si>
  <si>
    <t>Operational ai-ready agricultural datasets with defined ownership and partial coverage; adoption or interoperability gaps remain.</t>
  </si>
  <si>
    <t>Scaled and funded ai-ready agricultural datasets, with accountable governance, interoperability and broad use.</t>
  </si>
  <si>
    <t>Institutionalized, inclusive and resilient ai-ready agricultural datasets, continuously improved and supported by verified outcomes.</t>
  </si>
  <si>
    <t>≥ 80</t>
  </si>
  <si>
    <t>No credible data protection/privacy law capability, or isolated informal activity only.</t>
  </si>
  <si>
    <t>Pilot or ad hoc data protection/privacy law; narrow coverage, unclear ownership or donor dependence.</t>
  </si>
  <si>
    <t>Operational data protection/privacy law with defined ownership and partial coverage; adoption or interoperability gaps remain.</t>
  </si>
  <si>
    <t>Scaled and funded data protection/privacy law, with accountable governance, interoperability and broad use.</t>
  </si>
  <si>
    <t>Institutionalized, inclusive and resilient data protection/privacy law, continuously improved and supported by verified outcomes.</t>
  </si>
  <si>
    <t>No credible national digital agriculture strategy capability, or isolated informal activity only.</t>
  </si>
  <si>
    <t>Pilot or ad hoc national digital agriculture strategy; narrow coverage, unclear ownership or donor dependence.</t>
  </si>
  <si>
    <t>Operational national digital agriculture strategy with defined ownership and partial coverage; adoption or interoperability gaps remain.</t>
  </si>
  <si>
    <t>Scaled and funded national digital agriculture strategy, with accountable governance, interoperability and broad use.</t>
  </si>
  <si>
    <t>Institutionalized, inclusive and resilient national digital agriculture strategy, continuously improved and supported by verified outcomes.</t>
  </si>
  <si>
    <t>No credible agricultural data governance framework capability, or isolated informal activity only.</t>
  </si>
  <si>
    <t>Pilot or ad hoc agricultural data governance framework; narrow coverage, unclear ownership or donor dependence.</t>
  </si>
  <si>
    <t>Operational agricultural data governance framework with defined ownership and partial coverage; adoption or interoperability gaps remain.</t>
  </si>
  <si>
    <t>Scaled and funded agricultural data governance framework, with accountable governance, interoperability and broad use.</t>
  </si>
  <si>
    <t>Institutionalized, inclusive and resilient agricultural data governance framework, continuously improved and supported by verified outcomes.</t>
  </si>
  <si>
    <t>No credible national ai strategy with agriculture component capability, or isolated informal activity only.</t>
  </si>
  <si>
    <t>Pilot or ad hoc national ai strategy with agriculture component; narrow coverage, unclear ownership or donor dependence.</t>
  </si>
  <si>
    <t>Operational national ai strategy with agriculture component with defined ownership and partial coverage; adoption or interoperability gaps remain.</t>
  </si>
  <si>
    <t>Scaled and funded national ai strategy with agriculture component, with accountable governance, interoperability and broad use.</t>
  </si>
  <si>
    <t>Institutionalized, inclusive and resilient national ai strategy with agriculture component, continuously improved and supported by verified outcomes.</t>
  </si>
  <si>
    <t>No credible data sovereignty provisions for agricultural data capability, or isolated informal activity only.</t>
  </si>
  <si>
    <t>Pilot or ad hoc data sovereignty provisions for agricultural data; narrow coverage, unclear ownership or donor dependence.</t>
  </si>
  <si>
    <t>Operational data sovereignty provisions for agricultural data with defined ownership and partial coverage; adoption or interoperability gaps remain.</t>
  </si>
  <si>
    <t>Scaled and funded data sovereignty provisions for agricultural data, with accountable governance, interoperability and broad use.</t>
  </si>
  <si>
    <t>Institutionalized, inclusive and resilient data sovereignty provisions for agricultural data, continuously improved and supported by verified outcomes.</t>
  </si>
  <si>
    <t>No credible inter-ministerial coordination mechanism for digital agriculture capability, or isolated informal activity only.</t>
  </si>
  <si>
    <t>Pilot or ad hoc inter-ministerial coordination mechanism for digital agriculture; narrow coverage, unclear ownership or donor dependence.</t>
  </si>
  <si>
    <t>Operational inter-ministerial coordination mechanism for digital agriculture with defined ownership and partial coverage; adoption or interoperability gaps remain.</t>
  </si>
  <si>
    <t>Scaled and funded inter-ministerial coordination mechanism for digital agriculture, with accountable governance, interoperability and broad use.</t>
  </si>
  <si>
    <t>Institutionalized, inclusive and resilient inter-ministerial coordination mechanism for digital agriculture, continuously improved and supported by verified outcomes.</t>
  </si>
  <si>
    <t>No credible competition/antitrust framework for digital agricultural markets capability, or isolated informal activity only.</t>
  </si>
  <si>
    <t>Pilot or ad hoc competition/antitrust framework for digital agricultural markets; narrow coverage, unclear ownership or donor dependence.</t>
  </si>
  <si>
    <t>Operational competition/antitrust framework for digital agricultural markets with defined ownership and partial coverage; adoption or interoperability gaps remain.</t>
  </si>
  <si>
    <t>Scaled and funded competition/antitrust framework for digital agricultural markets, with accountable governance, interoperability and broad use.</t>
  </si>
  <si>
    <t>Institutionalized, inclusive and resilient competition/antitrust framework for digital agricultural markets, continuously improved and supported by verified outcomes.</t>
  </si>
  <si>
    <t>No credible public procurement rules enabling digital agriculture innovation capability, or isolated informal activity only.</t>
  </si>
  <si>
    <t>Pilot or ad hoc public procurement rules enabling digital agriculture innovation; narrow coverage, unclear ownership or donor dependence.</t>
  </si>
  <si>
    <t>Operational public procurement rules enabling digital agriculture innovation with defined ownership and partial coverage; adoption or interoperability gaps remain.</t>
  </si>
  <si>
    <t>Scaled and funded public procurement rules enabling digital agriculture innovation, with accountable governance, interoperability and broad use.</t>
  </si>
  <si>
    <t>Institutionalized, inclusive and resilient public procurement rules enabling digital agriculture innovation, continuously improved and supported by verified outcomes.</t>
  </si>
  <si>
    <t>No credible spectrum allocation for rural/agricultural iot capability, or isolated informal activity only.</t>
  </si>
  <si>
    <t>Pilot or ad hoc spectrum allocation for rural/agricultural iot; narrow coverage, unclear ownership or donor dependence.</t>
  </si>
  <si>
    <t>Operational spectrum allocation for rural/agricultural iot with defined ownership and partial coverage; adoption or interoperability gaps remain.</t>
  </si>
  <si>
    <t>Scaled and funded spectrum allocation for rural/agricultural iot, with accountable governance, interoperability and broad use.</t>
  </si>
  <si>
    <t>Institutionalized, inclusive and resilient spectrum allocation for rural/agricultural iot, continuously improved and supported by verified outcomes.</t>
  </si>
  <si>
    <t>No credible responsible ai principles/guidelines for agriculture capability, or isolated informal activity only.</t>
  </si>
  <si>
    <t>Pilot or ad hoc responsible ai principles/guidelines for agriculture; narrow coverage, unclear ownership or donor dependence.</t>
  </si>
  <si>
    <t>Operational responsible ai principles/guidelines for agriculture with defined ownership and partial coverage; adoption or interoperability gaps remain.</t>
  </si>
  <si>
    <t>Scaled and funded responsible ai principles/guidelines for agriculture, with accountable governance, interoperability and broad use.</t>
  </si>
  <si>
    <t>Institutionalized, inclusive and resilient responsible ai principles/guidelines for agriculture, continuously improved and supported by verified outcomes.</t>
  </si>
  <si>
    <t>&lt; 4</t>
  </si>
  <si>
    <t>4 to &lt; 6</t>
  </si>
  <si>
    <t>6 to &lt; 8</t>
  </si>
  <si>
    <t>8 to &lt; 10</t>
  </si>
  <si>
    <t>&gt;= 10</t>
  </si>
  <si>
    <t>&lt; 50</t>
  </si>
  <si>
    <t>50 to &lt; 65</t>
  </si>
  <si>
    <t>65 to &lt; 80</t>
  </si>
  <si>
    <t>80 to &lt; 90</t>
  </si>
  <si>
    <t>&gt;= 90</t>
  </si>
  <si>
    <t>&lt; 10</t>
  </si>
  <si>
    <t>10 to &lt; 20</t>
  </si>
  <si>
    <t>20 to &lt; 30</t>
  </si>
  <si>
    <t>30 to &lt; 40</t>
  </si>
  <si>
    <t>&gt;= 40</t>
  </si>
  <si>
    <t>25 to &lt; 50</t>
  </si>
  <si>
    <t>50 to &lt; 75</t>
  </si>
  <si>
    <t>&gt;= 75</t>
  </si>
  <si>
    <t>No credible farmer-to-digital-extension-worker ratio capability, or isolated informal activity only.</t>
  </si>
  <si>
    <t>Pilot or ad hoc farmer-to-digital-extension-worker ratio; narrow coverage, unclear ownership or donor dependence.</t>
  </si>
  <si>
    <t>Operational farmer-to-digital-extension-worker ratio with defined ownership and partial coverage; adoption or interoperability gaps remain.</t>
  </si>
  <si>
    <t>Scaled and funded farmer-to-digital-extension-worker ratio, with accountable governance, interoperability and broad use.</t>
  </si>
  <si>
    <t>Institutionalized, inclusive and resilient farmer-to-digital-extension-worker ratio, continuously improved and supported by verified outcomes.</t>
  </si>
  <si>
    <t>No credible dedicated digital/ai units in ministry of agriculture capability, or isolated informal activity only.</t>
  </si>
  <si>
    <t>Pilot or ad hoc dedicated digital/ai units in ministry of agriculture; narrow coverage, unclear ownership or donor dependence.</t>
  </si>
  <si>
    <t>Operational dedicated digital/ai units in ministry of agriculture with defined ownership and partial coverage; adoption or interoperability gaps remain.</t>
  </si>
  <si>
    <t>Scaled and funded dedicated digital/ai units in ministry of agriculture, with accountable governance, interoperability and broad use.</t>
  </si>
  <si>
    <t>Institutionalized, inclusive and resilient dedicated digital/ai units in ministry of agriculture, continuously improved and supported by verified outcomes.</t>
  </si>
  <si>
    <t>No credible university programs in agtech/digital agriculture capability, or isolated informal activity only.</t>
  </si>
  <si>
    <t>Pilot or ad hoc university programs in agtech/digital agriculture; narrow coverage, unclear ownership or donor dependence.</t>
  </si>
  <si>
    <t>Operational university programs in agtech/digital agriculture with defined ownership and partial coverage; adoption or interoperability gaps remain.</t>
  </si>
  <si>
    <t>Scaled and funded university programs in agtech/digital agriculture, with accountable governance, interoperability and broad use.</t>
  </si>
  <si>
    <t>Institutionalized, inclusive and resilient university programs in agtech/digital agriculture, continuously improved and supported by verified outcomes.</t>
  </si>
  <si>
    <t>No credible data science/ai training programs for agriculture capability, or isolated informal activity only.</t>
  </si>
  <si>
    <t>Pilot or ad hoc data science/ai training programs for agriculture; narrow coverage, unclear ownership or donor dependence.</t>
  </si>
  <si>
    <t>Operational data science/ai training programs for agriculture with defined ownership and partial coverage; adoption or interoperability gaps remain.</t>
  </si>
  <si>
    <t>Scaled and funded data science/ai training programs for agriculture, with accountable governance, interoperability and broad use.</t>
  </si>
  <si>
    <t>Institutionalized, inclusive and resilient data science/ai training programs for agriculture, continuously improved and supported by verified outcomes.</t>
  </si>
  <si>
    <t>&gt;= 20</t>
  </si>
  <si>
    <t>No credible institutional digital maturity of key agricultural agencies capability, or isolated informal activity only.</t>
  </si>
  <si>
    <t>Pilot or ad hoc institutional digital maturity of key agricultural agencies; narrow coverage, unclear ownership or donor dependence.</t>
  </si>
  <si>
    <t>Operational institutional digital maturity of key agricultural agencies with defined ownership and partial coverage; adoption or interoperability gaps remain.</t>
  </si>
  <si>
    <t>Scaled and funded institutional digital maturity of key agricultural agencies, with accountable governance, interoperability and broad use.</t>
  </si>
  <si>
    <t>Institutionalized, inclusive and resilient institutional digital maturity of key agricultural agencies, continuously improved and supported by verified outcomes.</t>
  </si>
  <si>
    <t>20 to &lt; 35</t>
  </si>
  <si>
    <t>35 to &lt; 45</t>
  </si>
  <si>
    <t>45 to &lt; 50</t>
  </si>
  <si>
    <t>&gt;= 50</t>
  </si>
  <si>
    <t>25 to &lt; 40</t>
  </si>
  <si>
    <t>40 to &lt; 50</t>
  </si>
  <si>
    <t>≥ 50</t>
  </si>
  <si>
    <t>&lt; 25</t>
  </si>
  <si>
    <t>25 to &lt; 35</t>
  </si>
  <si>
    <t>45 to &lt; 55</t>
  </si>
  <si>
    <t>&gt;= 55</t>
  </si>
  <si>
    <t>&lt; 0.1</t>
  </si>
  <si>
    <t>0.1 to &lt; 0.5</t>
  </si>
  <si>
    <t>0.5 to &lt; 1</t>
  </si>
  <si>
    <t>1 to &lt; 2</t>
  </si>
  <si>
    <t>&gt;= 2</t>
  </si>
  <si>
    <t>&lt; 30</t>
  </si>
  <si>
    <t>30 to &lt; 45</t>
  </si>
  <si>
    <t>45 to &lt; 60</t>
  </si>
  <si>
    <t>60 to &lt; 75</t>
  </si>
  <si>
    <t>No credible active agtech startups/firms capability, or isolated informal activity only.</t>
  </si>
  <si>
    <t>Pilot or ad hoc active agtech startups/firms; narrow coverage, unclear ownership or donor dependence.</t>
  </si>
  <si>
    <t>Operational active agtech startups/firms with defined ownership and partial coverage; adoption or interoperability gaps remain.</t>
  </si>
  <si>
    <t>Scaled and funded active agtech startups/firms, with accountable governance, interoperability and broad use.</t>
  </si>
  <si>
    <t>Institutionalized, inclusive and resilient active agtech startups/firms, continuously improved and supported by verified outcomes.</t>
  </si>
  <si>
    <t>No credible venture capital/investment in agtech capability, or isolated informal activity only.</t>
  </si>
  <si>
    <t>Pilot or ad hoc venture capital/investment in agtech; narrow coverage, unclear ownership or donor dependence.</t>
  </si>
  <si>
    <t>Operational venture capital/investment in agtech with defined ownership and partial coverage; adoption or interoperability gaps remain.</t>
  </si>
  <si>
    <t>Scaled and funded venture capital/investment in agtech, with accountable governance, interoperability and broad use.</t>
  </si>
  <si>
    <t>Institutionalized, inclusive and resilient venture capital/investment in agtech, continuously improved and supported by verified outcomes.</t>
  </si>
  <si>
    <t>No credible agtech accelerators/incubators capability, or isolated informal activity only.</t>
  </si>
  <si>
    <t>Pilot or ad hoc agtech accelerators/incubators; narrow coverage, unclear ownership or donor dependence.</t>
  </si>
  <si>
    <t>Operational agtech accelerators/incubators with defined ownership and partial coverage; adoption or interoperability gaps remain.</t>
  </si>
  <si>
    <t>Scaled and funded agtech accelerators/incubators, with accountable governance, interoperability and broad use.</t>
  </si>
  <si>
    <t>Institutionalized, inclusive and resilient agtech accelerators/incubators, continuously improved and supported by verified outcomes.</t>
  </si>
  <si>
    <t>&lt; 5</t>
  </si>
  <si>
    <t>5 to &lt; 15</t>
  </si>
  <si>
    <t>15 to &lt; 30</t>
  </si>
  <si>
    <t>30 to &lt; 50</t>
  </si>
  <si>
    <t>No credible regulatory sandboxes for agtech/fintech capability, or isolated informal activity only.</t>
  </si>
  <si>
    <t>Pilot or ad hoc regulatory sandboxes for agtech/fintech; narrow coverage, unclear ownership or donor dependence.</t>
  </si>
  <si>
    <t>Operational regulatory sandboxes for agtech/fintech with defined ownership and partial coverage; adoption or interoperability gaps remain.</t>
  </si>
  <si>
    <t>Scaled and funded regulatory sandboxes for agtech/fintech, with accountable governance, interoperability and broad use.</t>
  </si>
  <si>
    <t>Institutionalized, inclusive and resilient regulatory sandboxes for agtech/fintech, continuously improved and supported by verified outcomes.</t>
  </si>
  <si>
    <t>No credible public-private partnerships in digital agriculture capability, or isolated informal activity only.</t>
  </si>
  <si>
    <t>Pilot or ad hoc public-private partnerships in digital agriculture; narrow coverage, unclear ownership or donor dependence.</t>
  </si>
  <si>
    <t>Operational public-private partnerships in digital agriculture with defined ownership and partial coverage; adoption or interoperability gaps remain.</t>
  </si>
  <si>
    <t>Scaled and funded public-private partnerships in digital agriculture, with accountable governance, interoperability and broad use.</t>
  </si>
  <si>
    <t>Institutionalized, inclusive and resilient public-private partnerships in digital agriculture, continuously improved and supported by verified outcomes.</t>
  </si>
  <si>
    <t>No credible government grants/funding for agtech innovation capability, or isolated informal activity only.</t>
  </si>
  <si>
    <t>Pilot or ad hoc government grants/funding for agtech innovation; narrow coverage, unclear ownership or donor dependence.</t>
  </si>
  <si>
    <t>Operational government grants/funding for agtech innovation with defined ownership and partial coverage; adoption or interoperability gaps remain.</t>
  </si>
  <si>
    <t>Scaled and funded government grants/funding for agtech innovation, with accountable governance, interoperability and broad use.</t>
  </si>
  <si>
    <t>Institutionalized, inclusive and resilient government grants/funding for agtech innovation, continuously improved and supported by verified outcomes.</t>
  </si>
  <si>
    <t>No credible digital financial services platforms for agriculture capability, or isolated informal activity only.</t>
  </si>
  <si>
    <t>Pilot or ad hoc digital financial services platforms for agriculture; narrow coverage, unclear ownership or donor dependence.</t>
  </si>
  <si>
    <t>Operational digital financial services platforms for agriculture with defined ownership and partial coverage; adoption or interoperability gaps remain.</t>
  </si>
  <si>
    <t>Scaled and funded digital financial services platforms for agriculture, with accountable governance, interoperability and broad use.</t>
  </si>
  <si>
    <t>Institutionalized, inclusive and resilient digital financial services platforms for agriculture, continuously improved and supported by verified outcomes.</t>
  </si>
  <si>
    <t>No credible digital public goods adopted in agriculture capability, or isolated informal activity only.</t>
  </si>
  <si>
    <t>Pilot or ad hoc digital public goods adopted in agriculture; narrow coverage, unclear ownership or donor dependence.</t>
  </si>
  <si>
    <t>Operational digital public goods adopted in agriculture with defined ownership and partial coverage; adoption or interoperability gaps remain.</t>
  </si>
  <si>
    <t>Scaled and funded digital public goods adopted in agriculture, with accountable governance, interoperability and broad use.</t>
  </si>
  <si>
    <t>Institutionalized, inclusive and resilient digital public goods adopted in agriculture, continuously improved and supported by verified outcomes.</t>
  </si>
  <si>
    <t>No smallholder-accessible digital payment or credit rails; farmers rely on cash and informal traders.</t>
  </si>
  <si>
    <t>Isolated donor or MFI pilots of mobile-money or digital credit reaching &lt;1% of farming households.</t>
  </si>
  <si>
    <t>One or more operational agri-fintech services in market with measurable smallholder reach; interoperability with banking rails is partial.</t>
  </si>
  <si>
    <t>Multiple funded agri-fintech services reach ≥15% of farming households; interoperability with national payment switch; some product diversification (input credit, insurance).</t>
  </si>
  <si>
    <t>Institutionalised smallholder agri-fintech ecosystem: broad adoption (≥40% of farming households), full interoperability, gender-inclusive product design, and evidence of impact on input use or productivity.</t>
  </si>
  <si>
    <t>&lt; 1</t>
  </si>
  <si>
    <t>1 to &lt; 5</t>
  </si>
  <si>
    <t>5 to &lt; 20</t>
  </si>
  <si>
    <t>20 to &lt; 50</t>
  </si>
  <si>
    <t>No credible ai systems deployed in public agricultural sector capability, or isolated informal activity only.</t>
  </si>
  <si>
    <t>Pilot or ad hoc ai systems deployed in public agricultural sector; narrow coverage, unclear ownership or donor dependence.</t>
  </si>
  <si>
    <t>Operational ai systems deployed in public agricultural sector with defined ownership and partial coverage; adoption or interoperability gaps remain.</t>
  </si>
  <si>
    <t>Scaled and funded ai systems deployed in public agricultural sector, with accountable governance, interoperability and broad use.</t>
  </si>
  <si>
    <t>Institutionalized, inclusive and resilient ai systems deployed in public agricultural sector, continuously improved and supported by verified outcomes.</t>
  </si>
  <si>
    <t>2 to &lt; 10</t>
  </si>
  <si>
    <t>No credible ai talent in agriculture sector capability, or isolated informal activity only.</t>
  </si>
  <si>
    <t>Pilot or ad hoc ai talent in agriculture sector; narrow coverage, unclear ownership or donor dependence.</t>
  </si>
  <si>
    <t>Operational ai talent in agriculture sector with defined ownership and partial coverage; adoption or interoperability gaps remain.</t>
  </si>
  <si>
    <t>Scaled and funded ai talent in agriculture sector, with accountable governance, interoperability and broad use.</t>
  </si>
  <si>
    <t>Institutionalized, inclusive and resilient ai talent in agriculture sector, continuously improved and supported by verified outcomes.</t>
  </si>
  <si>
    <t>No security ownership, policy or incident response for agricultural digital systems; national CERT does not cover the sector.</t>
  </si>
  <si>
    <t>Generic national framework exists on paper; no agricultural system has a completed security assessment or a named security owner.</t>
  </si>
  <si>
    <t>Major agricultural systems have named security owners and at least one completed assessment or audit; incident response remains ad hoc; farmer-data systems are not prioritized.</t>
  </si>
  <si>
    <t>Sector systems are covered by CERT / incident-response arrangements, periodic audits and access controls; tested backups and a breach-notification duty are evidenced.</t>
  </si>
  <si>
    <t>Institutionalized sector security programme: recurring audits, monitored incidents with recorded lessons, farmer-data systems classified as protected assets, funded security budget.</t>
  </si>
  <si>
    <t>No disclosure that AI is used in farmer-facing services; no documentation exists.</t>
  </si>
  <si>
    <t>AI use is acknowledged but there is no farmer-facing explanation and no documentation of model purpose or limits.</t>
  </si>
  <si>
    <t>Major AI services publish plain-language descriptions of purpose, inputs and limitations; no independent review has occurred.</t>
  </si>
  <si>
    <t>Documented model descriptions exist for deployed systems; advisories flag uncertainty; at least one independent review has been performed.</t>
  </si>
  <si>
    <t>A sector standard requires explainability for farmer-affecting AI decisions, with audited compliance and accessible explanations in local languages.</t>
  </si>
  <si>
    <t>No consideration of bias or exclusion in agricultural AI or digital targeting systems.</t>
  </si>
  <si>
    <t>Bias is acknowledged as a risk; nothing is measured.</t>
  </si>
  <si>
    <t>At least one deployed system has been tested for differential accuracy or coverage across regions, gender or farm types, with findings documented.</t>
  </si>
  <si>
    <t>Routine disaggregated performance monitoring for major systems, with corrective actions recorded.</t>
  </si>
  <si>
    <t>Mandatory pre-deployment bias assessment plus ongoing monitoring with published results and redress where harm is found.</t>
  </si>
  <si>
    <t>Farmer data is used without a consent basis; no data-rights framework exists.</t>
  </si>
  <si>
    <t>Consent is collected pro forma (unexplained tick-box); access, correction or deletion rights do not work in practice.</t>
  </si>
  <si>
    <t>Clear consent at registration for stated purposes; farmers can access their records; rights are partly exercised in practice.</t>
  </si>
  <si>
    <t>Purpose limitation, consent management, and working access / correction / portability channels are evidenced by usage records.</t>
  </si>
  <si>
    <t>Enforceable farmer data rights with independent oversight, audited consent practices, and demonstrated remedies.</t>
  </si>
  <si>
    <t>&gt; 25</t>
  </si>
  <si>
    <t>&gt; 15 to &lt;= 25</t>
  </si>
  <si>
    <t>&gt; 7.5 to &lt;= 15</t>
  </si>
  <si>
    <t>&gt; 2.5 to &lt;= 7.5</t>
  </si>
  <si>
    <t>&lt;= 2.5</t>
  </si>
  <si>
    <t>&gt; 8 to &lt;= 15</t>
  </si>
  <si>
    <t>&gt; 3 to &lt;= 8</t>
  </si>
  <si>
    <t>&lt;= 3</t>
  </si>
  <si>
    <t>&gt; 20</t>
  </si>
  <si>
    <t>&gt; 10 to &lt;= 20</t>
  </si>
  <si>
    <t>&lt;= 2</t>
  </si>
  <si>
    <t>75 to &lt; 90</t>
  </si>
  <si>
    <t>No evidence of yield effects from digital tools.</t>
  </si>
  <si>
    <t>Vendor or self-reported claims only.</t>
  </si>
  <si>
    <t>Independent descriptive study (before/after or cross-section) without a counterfactual.</t>
  </si>
  <si>
    <t>Credible quasi-experimental or contribution analysis for at least one major service.</t>
  </si>
  <si>
    <t>Counterfactual evidence replicated across seasons, regions or multiple services.</t>
  </si>
  <si>
    <t>No evidence of income effects from digital tools.</t>
  </si>
  <si>
    <t>No gender-disaggregated adoption data collected or reported for digital advisories.</t>
  </si>
  <si>
    <t>Ad hoc gender data collected for one or two services; large gender gap in adoption (&gt;30 percentage points).</t>
  </si>
  <si>
    <t>Adoption is monitored by gender across major services; gender gap 15–30 pp is documented and being addressed.</t>
  </si>
  <si>
    <t>Gender-inclusive product design routinely applied; adoption gap &lt;15 pp with programmes actively closing it.</t>
  </si>
  <si>
    <t>Female adoption at parity with or exceeding male adoption; gender-inclusive design institutionalised across the digital advisory portfolio.</t>
  </si>
  <si>
    <t>Core Gates (14)</t>
  </si>
  <si>
    <t>Non-compensatory prerequisites. L1 caps overall stage at Stage 1; unmeasured suppresses the stage.</t>
  </si>
  <si>
    <t>Why it gates</t>
  </si>
  <si>
    <t>Prerequisite: at Level 1 it caps the overall stage at Stage 1; unmeasured, it suppresses the stage entirely.</t>
  </si>
  <si>
    <t>Single source of truth. Named ranges reference these cells.</t>
  </si>
  <si>
    <t>Maturity bands (half-open, mutually exclusive)</t>
  </si>
  <si>
    <t>Level</t>
  </si>
  <si>
    <t>From (&gt;=)</t>
  </si>
  <si>
    <t>To (&lt;)</t>
  </si>
  <si>
    <t>Nascent</t>
  </si>
  <si>
    <t>Emerging</t>
  </si>
  <si>
    <t>Established</t>
  </si>
  <si>
    <t>Advanced</t>
  </si>
  <si>
    <t>Transformative</t>
  </si>
  <si>
    <t>Coverage gates</t>
  </si>
  <si>
    <t>Rule</t>
  </si>
  <si>
    <t>Threshold</t>
  </si>
  <si>
    <t>pillar_min</t>
  </si>
  <si>
    <t>Pillar reports Not rated if &lt; this share of indicators carry a level</t>
  </si>
  <si>
    <t>cms_min</t>
  </si>
  <si>
    <t>Required capability coverage before overall stage is issued</t>
  </si>
  <si>
    <t>ems_min</t>
  </si>
  <si>
    <t>Required ecosystem coverage before EMS is issued</t>
  </si>
  <si>
    <t>evidence_min</t>
  </si>
  <si>
    <t>Minimum weighted evidence adequacy for a read-out</t>
  </si>
  <si>
    <t>stage2_cms</t>
  </si>
  <si>
    <t>CMS needed for Stage 2</t>
  </si>
  <si>
    <t>stage3_cms</t>
  </si>
  <si>
    <t>CMS needed for Stage 3</t>
  </si>
  <si>
    <t>stage3_ems</t>
  </si>
  <si>
    <t>EMS needed for Stage 3</t>
  </si>
  <si>
    <t>stage4_cms</t>
  </si>
  <si>
    <t>CMS needed for Stage 4</t>
  </si>
  <si>
    <t>stage4_ems</t>
  </si>
  <si>
    <t>EMS needed for Stage 4</t>
  </si>
  <si>
    <t>stage4_oes</t>
  </si>
  <si>
    <t>OES needed for Stage 4</t>
  </si>
  <si>
    <t>stage5_cms</t>
  </si>
  <si>
    <t>CMS needed for Stage 5</t>
  </si>
  <si>
    <t>stage5_ems</t>
  </si>
  <si>
    <t>EMS needed for Stage 5</t>
  </si>
  <si>
    <t>stage5_oes</t>
  </si>
  <si>
    <t>OES needed for Stage 5</t>
  </si>
  <si>
    <t>leapfrog_gap</t>
  </si>
  <si>
    <t>Foundation minus Transformation gap threshold — flag fragile progress</t>
  </si>
  <si>
    <t>Pillar weights (within role family)</t>
  </si>
  <si>
    <t>Weight</t>
  </si>
  <si>
    <t>Notes</t>
  </si>
  <si>
    <t>Never aggregated — profile only</t>
  </si>
  <si>
    <t>Innovation &amp; private sector (v1.4: raised from 0.55)</t>
  </si>
  <si>
    <t>Responsible AI &amp; emerging tech (v1.4: lowered from 0.45)</t>
  </si>
  <si>
    <t>Sum (Capability)</t>
  </si>
  <si>
    <t>Sum (Ecosystem)</t>
  </si>
  <si>
    <t>Sum (Outcome)</t>
  </si>
  <si>
    <t>Confidence weights (for evidence adequacy)</t>
  </si>
  <si>
    <t>Data Gap</t>
  </si>
  <si>
    <t>How this model scores and why it withholds when in doubt.</t>
  </si>
  <si>
    <t>A structured diagnostic underpinning a Digital Agriculture Roadmap (DAR). It assembles what public evidence can tell us about a country's digital-agriculture readiness and shows plainly what it cannot.</t>
  </si>
  <si>
    <t>Not this</t>
  </si>
  <si>
    <t>Not an official system, not a country ranking, not a scoring service. Every stage displayed is provisional until a human validates the evidence behind it.</t>
  </si>
  <si>
    <t>Rule 1 — Machines compute, humans gate</t>
  </si>
  <si>
    <t>Everything mechanical is automated. Everything consequential — whether to engage, what to target, whether to adopt — is a human decision, recorded with the role that made it.</t>
  </si>
  <si>
    <t>Rule 2 — Three read-outs, never one number</t>
  </si>
  <si>
    <t>Capability (CMS), Ecosystem (EMS) and Outcomes (OES) are reported separately and never averaged. A country can build systems before outcomes move; a composite would hide that.</t>
  </si>
  <si>
    <t>Rule 3 — Foundations are not tradeable</t>
  </si>
  <si>
    <t>14 core-gate indicators are treated as prerequisites, not points. A core gate at Level 1 caps the overall stage at Stage 1, regardless of strength elsewhere.</t>
  </si>
  <si>
    <t>Rule 4 — Silence beats a confident guess</t>
  </si>
  <si>
    <t>Where evidence is too thin, the model suppresses the score rather than computing one. A pillar below its coverage gate reads Not rated; an unmeasured core gate suppresses the stage entirely.</t>
  </si>
  <si>
    <t>Rule 5 — Evidence carries its provenance and its age</t>
  </si>
  <si>
    <t>Every reading records its source, observation year and confidence. Readings older than the indicator's max-age limit are flagged Stale until refreshed.</t>
  </si>
  <si>
    <t>Rule 6 — Nothing before the mandate is an assessment</t>
  </si>
  <si>
    <t>Work assembled before the government mandate is an ENGAGEMENT PACKAGE — preparatory material for a Bank decision, not a judgement about the country.</t>
  </si>
  <si>
    <t>Cascade — Indicator → Level</t>
  </si>
  <si>
    <t>Each indicator carries a rubric — numeric thresholds or an anchor per level. Evidence yields a level 1–5. Assessor level always wins over the machine suggestion.</t>
  </si>
  <si>
    <t>Cascade — Level → Pillar</t>
  </si>
  <si>
    <t>A pillar score is the plain mean of its scored indicators, provided coverage clears the pillar gate (60%). If not, the pillar reads Not rated.</t>
  </si>
  <si>
    <t>Cascade — Pillar → Read-out</t>
  </si>
  <si>
    <t>CMS = weighted mean of C1–C4 (25/30/25/20). EMS = weighted mean of E1/E2 (70/30 in v1.4). OES = O1 mean. Any unrated pillar suppresses the containing read-out.</t>
  </si>
  <si>
    <t>Cascade — Read-out → Stage</t>
  </si>
  <si>
    <t>A non-compensatory cascade turns three read-outs into one stage, subject to core-gate caps and coverage floors.</t>
  </si>
  <si>
    <t>Prohibitions</t>
  </si>
  <si>
    <t>No cross-country ranking. No DAMM score as PDO indicator, DLI or disbursement condition. No automatic financing / procurement / vendor / technology decisions. No stage before human validation.</t>
  </si>
  <si>
    <t>8 steps from automated diagnostic to adoption, with named decider.</t>
  </si>
  <si>
    <t>Step</t>
  </si>
  <si>
    <t>Rung</t>
  </si>
  <si>
    <t>Decider</t>
  </si>
  <si>
    <t>Decision recorded</t>
  </si>
  <si>
    <t>Guidance</t>
  </si>
  <si>
    <t>T0</t>
  </si>
  <si>
    <t>Automated diagnostic</t>
  </si>
  <si>
    <t>machine</t>
  </si>
  <si>
    <t>Machine collects public evidence and routes gaps to data stewards. Nothing here claims a stage — it is an engagement package for your Step 2 decision.</t>
  </si>
  <si>
    <t>D1</t>
  </si>
  <si>
    <t>Engage / mode / budget</t>
  </si>
  <si>
    <t>TTL</t>
  </si>
  <si>
    <t>Engage or defer; assessment mode; budget and team</t>
  </si>
  <si>
    <t>Decide whether to engage, in what mode, with what team. Machine drafts the memo and frames options; the decision — including rejected alternatives — is yours.</t>
  </si>
  <si>
    <t>D2</t>
  </si>
  <si>
    <t>Targeting hypotheses</t>
  </si>
  <si>
    <t>Chain shortlist and segmentation to propose to government</t>
  </si>
  <si>
    <t>Shortlist value chains and segmentation. Record the shortlist and the chains rejected.</t>
  </si>
  <si>
    <t>D3</t>
  </si>
  <si>
    <t>Evidence plan &amp; mission design</t>
  </si>
  <si>
    <t>TTL / management</t>
  </si>
  <si>
    <t>Evidence plan and mission design</t>
  </si>
  <si>
    <t>Plan how every unmeasured core gate and stale item will be evidenced; design the mission.</t>
  </si>
  <si>
    <t>G</t>
  </si>
  <si>
    <t>Government gates</t>
  </si>
  <si>
    <t>Government</t>
  </si>
  <si>
    <t>Mandate letter; steering committee; endorsed chain selection</t>
  </si>
  <si>
    <t>Government decides mandate letter, steering committee, endorsed chain selection. Nothing before this step carries a stage.</t>
  </si>
  <si>
    <t>D4</t>
  </si>
  <si>
    <t>Validated read-outs</t>
  </si>
  <si>
    <t>Evidence panel / steering committee</t>
  </si>
  <si>
    <t>Validated read-outs to the workshop</t>
  </si>
  <si>
    <t>Evidence panel validates the read-outs. Setting an assessor level converts machine imports to human-validated evidence.</t>
  </si>
  <si>
    <t>D5</t>
  </si>
  <si>
    <t>Portfolio scenario</t>
  </si>
  <si>
    <t>Steering committee (finance sign-off)</t>
  </si>
  <si>
    <t>Portfolio scenario and envelope</t>
  </si>
  <si>
    <t>Assemble the portfolio scenario and envelope with finance sign-off.</t>
  </si>
  <si>
    <t>D6</t>
  </si>
  <si>
    <t>Adopt &amp; disclose</t>
  </si>
  <si>
    <t>Decision authority / government</t>
  </si>
  <si>
    <t>Adopt, disclose and version</t>
  </si>
  <si>
    <t>Adopt the DAR, disclose it, and version the record. Export and archive the workbook as the auditable artefact.</t>
  </si>
  <si>
    <t>Terms as this model uses them.</t>
  </si>
  <si>
    <t>Abbr.</t>
  </si>
  <si>
    <t>Term</t>
  </si>
  <si>
    <t>Definition</t>
  </si>
  <si>
    <t>Capability Maturity Score</t>
  </si>
  <si>
    <t>Weighted mean of C1–C4 pillar levels (25/30/25/20). Reported 1–5.</t>
  </si>
  <si>
    <t>Ecosystem Maturity Score</t>
  </si>
  <si>
    <t>Weighted mean of E1 (70%) and E2 (30%) pillars.</t>
  </si>
  <si>
    <t>Outcome &amp; Equity Score</t>
  </si>
  <si>
    <t>O1 pillar mean level. Deliberately kept separate from CMS/EMS.</t>
  </si>
  <si>
    <t>Stage</t>
  </si>
  <si>
    <t>Overall stage</t>
  </si>
  <si>
    <t>Stage 1 (Foundation constrained) through Stage 5 (Transformative). Derived non-compensatively from CMS/EMS/OES subject to core-gate and coverage rules.</t>
  </si>
  <si>
    <t>Core-gate indicator</t>
  </si>
  <si>
    <t>14 foundational indicators treated as prerequisites, not points. L1 caps the stage at 1; unmeasured suppresses the stage entirely.</t>
  </si>
  <si>
    <t>Coverage gate</t>
  </si>
  <si>
    <t>Share of a pillar's indicators that carry an assigned level. Below 60% the pillar reads Not rated; a composite containing an unrated pillar is also suppressed.</t>
  </si>
  <si>
    <t>Confidence weight</t>
  </si>
  <si>
    <t>High=1.0, Medium=0.6, Low=0.3. Used to compute Weighted Evidence Adequacy.</t>
  </si>
  <si>
    <t>Adequacy</t>
  </si>
  <si>
    <t>Confidence-weighted share of scored indicators. Must clear 0.5 for the read-out to stand.</t>
  </si>
  <si>
    <t>Stale</t>
  </si>
  <si>
    <t>Stale evidence</t>
  </si>
  <si>
    <t>A reading whose observation year is older than the indicator's max age (2 or 3 years).</t>
  </si>
  <si>
    <t>No assessor level and no machine level. Excluded from scoring, reported separately.</t>
  </si>
  <si>
    <t>Provisional</t>
  </si>
  <si>
    <t>Provisional level</t>
  </si>
  <si>
    <t>A level derived by machine from a threshold rule, not yet confirmed by an assessor.</t>
  </si>
  <si>
    <t>Engagement package</t>
  </si>
  <si>
    <t>Everything assembled before the government mandate. No stage is claimable however complete the evidence looks.</t>
  </si>
  <si>
    <t>Version</t>
  </si>
  <si>
    <t>Focus</t>
  </si>
  <si>
    <t>Key changes</t>
  </si>
  <si>
    <t>v1.0</t>
  </si>
  <si>
    <t>Initial framework</t>
  </si>
  <si>
    <t>8 pillars, 97 indicators, 4 layers, 5 levels. Overlapping bands. Hardcoded scores.</t>
  </si>
  <si>
    <t>v1.1 (July 2026)</t>
  </si>
  <si>
    <t>Red-team corrections</t>
  </si>
  <si>
    <t>Live formulas throughout; non-overlapping bands; Data Confidence Index; Data Gap vs Nascent distinction; rebuilt investment matrix; Cost/Difficulty/Cost-Effectiveness; leapfrog gap flag.</t>
  </si>
  <si>
    <t>v1.3-DRAFT (August 2026)</t>
  </si>
  <si>
    <t>Restructure as config for external app</t>
  </si>
  <si>
    <t>Restructured pillars into role families (C0 context / C1–C4 capability / E1–E2 ecosystem / O1 outcome). Introduced three read-outs (CMS/EMS/OES) — never averaged. Core-gate cap and coverage suppression. Evidence staleness. Decision ladder. Prohibitions wired in. BUT: removed live scoring; workbook became a config file only. 88% of anchored rubrics used generic templated text.</t>
  </si>
  <si>
    <t>v1.4 (this file)</t>
  </si>
  <si>
    <t>Live-scoring workbook restored + additions</t>
  </si>
  <si>
    <t>Restores live formula scoring on top of v1.3's methodology. 102 indicators (v1.3's 97 + 5 red-team additions: agri-fintech core gate, gender parity in extension, gender-disaggregated adoption, climate advisory reach, open ag data). E1/E2 weights rebalanced to 70/30. New E1 core gate. Egypt worked example. Blank Template for any country. Dashboard reads CMS/EMS/OES/stage/coverage/gates/staleness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</si>
</sst>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20"/>
      <color rgb="FF1B3A4B"/>
      <name val="Calibri"/>
      <family val="2"/>
    </font>
    <font>
      <i/>
      <sz val="11"/>
      <color rgb="FF7A7974"/>
      <name val="Calibri"/>
      <family val="2"/>
    </font>
    <font>
      <b/>
      <sz val="13"/>
      <color rgb="FF1B3A4B"/>
      <name val="Calibri"/>
      <family val="2"/>
    </font>
    <font>
      <b/>
      <sz val="11"/>
      <color rgb="FF1B3A4B"/>
      <name val="Calibri"/>
      <family val="2"/>
    </font>
    <font>
      <b/>
      <sz val="11"/>
      <color rgb="FF28251D"/>
      <name val="Calibri"/>
      <family val="2"/>
    </font>
    <font>
      <b/>
      <sz val="11"/>
      <color rgb="FFFFFFFF"/>
      <name val="Calibri"/>
      <family val="2"/>
    </font>
    <font>
      <b/>
      <sz val="12"/>
      <color rgb="FF28251D"/>
      <name val="Calibri"/>
      <family val="2"/>
    </font>
    <font>
      <b/>
      <sz val="12"/>
      <color rgb="FF1B3A4B"/>
      <name val="Calibri"/>
      <family val="2"/>
    </font>
    <font>
      <b/>
      <sz val="14"/>
      <color rgb="FF20808D"/>
      <name val="Calibri"/>
      <family val="2"/>
    </font>
    <font>
      <i/>
      <sz val="11"/>
      <color rgb="FF964219"/>
      <name val="Calibri"/>
      <family val="2"/>
    </font>
    <font>
      <sz val="10"/>
      <color rgb="FF0563C1"/>
      <name val="Calibri"/>
      <family val="2"/>
    </font>
    <font>
      <sz val="11"/>
      <color theme="1"/>
      <name val="FreeSans"/>
      <family val="2"/>
    </font>
  </fonts>
  <fills count="8">
    <fill>
      <patternFill patternType="none"/>
    </fill>
    <fill>
      <patternFill patternType="gray125"/>
    </fill>
    <fill>
      <patternFill patternType="solid">
        <fgColor rgb="FF1B3A4B"/>
        <bgColor rgb="FF28251D"/>
      </patternFill>
    </fill>
    <fill>
      <patternFill patternType="solid">
        <fgColor rgb="FFF5F5F0"/>
        <bgColor rgb="FFFDF2E9"/>
      </patternFill>
    </fill>
    <fill>
      <patternFill patternType="solid">
        <fgColor rgb="FFEAF3F7"/>
        <bgColor rgb="FFE8F8F5"/>
      </patternFill>
    </fill>
    <fill>
      <patternFill patternType="solid">
        <fgColor rgb="FFFDF2E9"/>
        <bgColor rgb="FFF5F5F0"/>
      </patternFill>
    </fill>
    <fill>
      <patternFill patternType="solid">
        <fgColor rgb="FFE8F8F5"/>
        <bgColor rgb="FFEAF3F7"/>
      </patternFill>
    </fill>
    <fill>
      <patternFill patternType="solid">
        <fgColor rgb="FFFFF3D6"/>
        <bgColor rgb="FFFDF2E9"/>
      </patternFill>
    </fill>
  </fills>
  <borders count="1">
    <border>
      <left/>
      <right/>
      <top/>
      <bottom/>
      <diagonal/>
    </border>
  </borders>
  <cellStyleXfs count="1">
    <xf numFmtId="0" fontId="0" fillId="0" borderId="0"/>
  </cellStyleXfs>
  <cellXfs count="45">
    <xf numFmtId="0" fontId="0" fillId="0" borderId="0" xfId="0"/>
    <xf numFmtId="0" fontId="10" fillId="0" borderId="0" xfId="0" applyFont="1"/>
    <xf numFmtId="0" fontId="9" fillId="0" borderId="0" xfId="0" applyFont="1" applyAlignment="1">
      <alignment horizontal="left" vertical="center"/>
    </xf>
    <xf numFmtId="0" fontId="1" fillId="0" borderId="0" xfId="0" applyFont="1"/>
    <xf numFmtId="0" fontId="2" fillId="0" borderId="0" xfId="0" applyFont="1"/>
    <xf numFmtId="0" fontId="3" fillId="0" borderId="0" xfId="0" applyFont="1"/>
    <xf numFmtId="0" fontId="4" fillId="0" borderId="0" xfId="0" applyFont="1" applyAlignment="1">
      <alignment vertical="top"/>
    </xf>
    <xf numFmtId="0" fontId="0" fillId="0" borderId="0" xfId="0" applyAlignment="1">
      <alignment vertical="top" wrapText="1"/>
    </xf>
    <xf numFmtId="0" fontId="5" fillId="0" borderId="0" xfId="0" applyFont="1" applyAlignment="1">
      <alignment vertical="top"/>
    </xf>
    <xf numFmtId="0" fontId="5" fillId="0" borderId="0" xfId="0" applyFont="1"/>
    <xf numFmtId="0" fontId="0" fillId="0" borderId="0" xfId="0" applyAlignment="1">
      <alignment wrapText="1"/>
    </xf>
    <xf numFmtId="0" fontId="6" fillId="2"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left" vertical="center"/>
    </xf>
    <xf numFmtId="9" fontId="0" fillId="3" borderId="0" xfId="0" applyNumberFormat="1"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left" vertical="center"/>
    </xf>
    <xf numFmtId="9" fontId="0" fillId="4" borderId="0" xfId="0" applyNumberFormat="1" applyFill="1" applyAlignment="1">
      <alignment horizontal="center" vertical="center"/>
    </xf>
    <xf numFmtId="2" fontId="0" fillId="4" borderId="0" xfId="0" applyNumberFormat="1" applyFill="1" applyAlignment="1">
      <alignment horizontal="center" vertical="center"/>
    </xf>
    <xf numFmtId="0" fontId="0" fillId="5" borderId="0" xfId="0" applyFill="1" applyAlignment="1">
      <alignment horizontal="center" vertical="center"/>
    </xf>
    <xf numFmtId="0" fontId="0" fillId="5" borderId="0" xfId="0" applyFill="1" applyAlignment="1">
      <alignment horizontal="left" vertical="center"/>
    </xf>
    <xf numFmtId="9" fontId="0" fillId="5" borderId="0" xfId="0" applyNumberFormat="1" applyFill="1" applyAlignment="1">
      <alignment horizontal="center" vertical="center"/>
    </xf>
    <xf numFmtId="2" fontId="0" fillId="5" borderId="0" xfId="0" applyNumberFormat="1" applyFill="1" applyAlignment="1">
      <alignment horizontal="center" vertical="center"/>
    </xf>
    <xf numFmtId="0" fontId="0" fillId="6" borderId="0" xfId="0" applyFill="1" applyAlignment="1">
      <alignment horizontal="center" vertical="center"/>
    </xf>
    <xf numFmtId="0" fontId="0" fillId="6" borderId="0" xfId="0" applyFill="1" applyAlignment="1">
      <alignment horizontal="left" vertical="center"/>
    </xf>
    <xf numFmtId="9" fontId="0" fillId="6" borderId="0" xfId="0" applyNumberFormat="1" applyFill="1" applyAlignment="1">
      <alignment horizontal="center" vertical="center"/>
    </xf>
    <xf numFmtId="2" fontId="0" fillId="6" borderId="0" xfId="0" applyNumberFormat="1" applyFill="1"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xf>
    <xf numFmtId="9" fontId="0" fillId="0" borderId="0" xfId="0" applyNumberFormat="1" applyAlignment="1">
      <alignment horizontal="center" vertical="center"/>
    </xf>
    <xf numFmtId="2" fontId="7" fillId="0" borderId="0" xfId="0" applyNumberFormat="1" applyFont="1" applyAlignment="1">
      <alignment horizontal="center" vertical="center"/>
    </xf>
    <xf numFmtId="0" fontId="0" fillId="0" borderId="0" xfId="0" applyAlignment="1">
      <alignment horizontal="center" vertical="center"/>
    </xf>
    <xf numFmtId="0" fontId="8" fillId="0" borderId="0" xfId="0" applyFont="1"/>
    <xf numFmtId="2" fontId="0" fillId="0" borderId="0" xfId="0" applyNumberFormat="1"/>
    <xf numFmtId="9" fontId="0" fillId="0" borderId="0" xfId="0" applyNumberFormat="1"/>
    <xf numFmtId="0" fontId="0" fillId="0" borderId="0" xfId="0" applyAlignment="1">
      <alignment vertical="center"/>
    </xf>
    <xf numFmtId="0" fontId="0" fillId="0" borderId="0" xfId="0" applyAlignment="1">
      <alignment vertical="center" wrapText="1"/>
    </xf>
    <xf numFmtId="0" fontId="0" fillId="3" borderId="0" xfId="0" applyFill="1" applyAlignment="1">
      <alignment vertical="center"/>
    </xf>
    <xf numFmtId="0" fontId="11" fillId="0" borderId="0" xfId="0" applyFont="1" applyAlignment="1">
      <alignment vertical="center"/>
    </xf>
    <xf numFmtId="0" fontId="0" fillId="7" borderId="0" xfId="0" applyFill="1" applyAlignment="1">
      <alignment vertical="center"/>
    </xf>
    <xf numFmtId="0" fontId="0" fillId="7" borderId="0" xfId="0" applyFill="1" applyAlignment="1">
      <alignment vertical="center" wrapText="1"/>
    </xf>
    <xf numFmtId="0" fontId="0" fillId="0" borderId="0" xfId="0" applyAlignment="1">
      <alignment horizontal="center"/>
    </xf>
    <xf numFmtId="9" fontId="0" fillId="0" borderId="0" xfId="0" applyNumberFormat="1" applyAlignment="1">
      <alignment horizontal="center"/>
    </xf>
    <xf numFmtId="2" fontId="0" fillId="0" borderId="0" xfId="0" applyNumberFormat="1" applyAlignment="1">
      <alignment horizontal="center"/>
    </xf>
    <xf numFmtId="0" fontId="4" fillId="0" borderId="0" xfId="0" applyFont="1"/>
  </cellXfs>
  <cellStyles count="1">
    <cellStyle name="Normal" xfId="0" builtinId="0"/>
  </cellStyles>
  <dxfs count="6">
    <dxf>
      <font>
        <b/>
        <sz val="11"/>
        <color rgb="FFA12C7B"/>
        <name val="Calibri"/>
        <charset val="1"/>
      </font>
      <fill>
        <patternFill>
          <bgColor rgb="FFFADBD8"/>
        </patternFill>
      </fill>
    </dxf>
    <dxf>
      <fill>
        <patternFill>
          <bgColor rgb="FFD5F5E3"/>
        </patternFill>
      </fill>
    </dxf>
    <dxf>
      <fill>
        <patternFill>
          <bgColor rgb="FFFADBD8"/>
        </patternFill>
      </fill>
    </dxf>
    <dxf>
      <font>
        <b/>
        <sz val="11"/>
        <color rgb="FFA12C7B"/>
        <name val="Calibri"/>
        <charset val="1"/>
      </font>
      <fill>
        <patternFill>
          <bgColor rgb="FFFADBD8"/>
        </patternFill>
      </fill>
    </dxf>
    <dxf>
      <fill>
        <patternFill>
          <bgColor rgb="FFD5F5E3"/>
        </patternFill>
      </fill>
    </dxf>
    <dxf>
      <fill>
        <patternFill>
          <bgColor rgb="FFFADBD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C0C0C0"/>
      <rgbColor rgb="FF7A7974"/>
      <rgbColor rgb="FF9999FF"/>
      <rgbColor rgb="FFA12C7B"/>
      <rgbColor rgb="FFFFF3D6"/>
      <rgbColor rgb="FFE8F8F5"/>
      <rgbColor rgb="FF660066"/>
      <rgbColor rgb="FFFF8080"/>
      <rgbColor rgb="FF0563C1"/>
      <rgbColor rgb="FFF5F5F0"/>
      <rgbColor rgb="FF000080"/>
      <rgbColor rgb="FFFF00FF"/>
      <rgbColor rgb="FFFFFF00"/>
      <rgbColor rgb="FF00FFFF"/>
      <rgbColor rgb="FF800080"/>
      <rgbColor rgb="FF800000"/>
      <rgbColor rgb="FF008080"/>
      <rgbColor rgb="FF0000FF"/>
      <rgbColor rgb="FF00CCFF"/>
      <rgbColor rgb="FFEAF3F7"/>
      <rgbColor rgb="FFD5F5E3"/>
      <rgbColor rgb="FFFDF2E9"/>
      <rgbColor rgb="FF99CCFF"/>
      <rgbColor rgb="FFFF99CC"/>
      <rgbColor rgb="FFCC99FF"/>
      <rgbColor rgb="FFFADBD8"/>
      <rgbColor rgb="FF3366FF"/>
      <rgbColor rgb="FF33CCCC"/>
      <rgbColor rgb="FF99CC00"/>
      <rgbColor rgb="FFFFCC00"/>
      <rgbColor rgb="FFFF9900"/>
      <rgbColor rgb="FFFF6600"/>
      <rgbColor rgb="FF666699"/>
      <rgbColor rgb="FF969696"/>
      <rgbColor rgb="FF1B3A4B"/>
      <rgbColor rgb="FF339966"/>
      <rgbColor rgb="FF003300"/>
      <rgbColor rgb="FF333300"/>
      <rgbColor rgb="FF964219"/>
      <rgbColor rgb="FF993366"/>
      <rgbColor rgb="FF333399"/>
      <rgbColor rgb="FF2825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cgspace.cgiar.org/server/api/core/bitstreams/9f8108a1-d7e7-54a1-8527-3111f8e4bfc0/content" TargetMode="External"/><Relationship Id="rId21" Type="http://schemas.openxmlformats.org/officeDocument/2006/relationships/hyperlink" Target="https://odin.opendatawatch.com/" TargetMode="External"/><Relationship Id="rId42" Type="http://schemas.openxmlformats.org/officeDocument/2006/relationships/hyperlink" Target="https://cgspace.cgiar.org/server/api/core/bitstreams/81b8d4be-61c7-470a-9b12-52a0c51d2d4c/content" TargetMode="External"/><Relationship Id="rId47" Type="http://schemas.openxmlformats.org/officeDocument/2006/relationships/hyperlink" Target="https://www.sis.gov.eg/Story/193871/Digital-transformation-in-agro-sector-reviewed?lang=en-us" TargetMode="External"/><Relationship Id="rId63" Type="http://schemas.openxmlformats.org/officeDocument/2006/relationships/hyperlink" Target="https://farmersreviewafrica.com/egypt-launches-ai-enabled-system-to-enhance-agriculture-process/" TargetMode="External"/><Relationship Id="rId68" Type="http://schemas.openxmlformats.org/officeDocument/2006/relationships/hyperlink" Target="https://www.itu.int/epublications/publication/global-cybersecurity-index-2024" TargetMode="External"/><Relationship Id="rId16" Type="http://schemas.openxmlformats.org/officeDocument/2006/relationships/hyperlink" Target="https://english.ahram.org.eg/NewsContent/3/12/236203/-.aspx" TargetMode="External"/><Relationship Id="rId11" Type="http://schemas.openxmlformats.org/officeDocument/2006/relationships/hyperlink" Target="https://datahub.itu.int/docs/IDIDataset.xlsx" TargetMode="External"/><Relationship Id="rId32" Type="http://schemas.openxmlformats.org/officeDocument/2006/relationships/hyperlink" Target="https://faolex.fao.org/docs/pdf/egy141040E.pdf" TargetMode="External"/><Relationship Id="rId37" Type="http://schemas.openxmlformats.org/officeDocument/2006/relationships/hyperlink" Target="https://www.tra.gov.eg/en/" TargetMode="External"/><Relationship Id="rId53" Type="http://schemas.openxmlformats.org/officeDocument/2006/relationships/hyperlink" Target="https://www.f6s.com/companies/agritech/egypt/co" TargetMode="External"/><Relationship Id="rId58" Type="http://schemas.openxmlformats.org/officeDocument/2006/relationships/hyperlink" Target="https://startupegypt.org.eg/blog/top-startup-accelerators-egypt" TargetMode="External"/><Relationship Id="rId74" Type="http://schemas.openxmlformats.org/officeDocument/2006/relationships/hyperlink" Target="https://openknowledge.fao.org/server/api/core/bitstreams/7a31c4cf-4117-45fc-84fd-b51635c2a62a/content" TargetMode="External"/><Relationship Id="rId79" Type="http://schemas.openxmlformats.org/officeDocument/2006/relationships/hyperlink" Target="https://businessmonthlyeg.com/from-fields-to-fintech-agritech-transforms-egypts-farming-sector/" TargetMode="External"/><Relationship Id="rId5" Type="http://schemas.openxmlformats.org/officeDocument/2006/relationships/hyperlink" Target="https://faolex.fao.org/docs/pdf/egy141040E.pdf" TargetMode="External"/><Relationship Id="rId61" Type="http://schemas.openxmlformats.org/officeDocument/2006/relationships/hyperlink" Target="https://www.tra.gov.eg/en/the-gsma-global-system-for-mobile-communications-association-has-released-its-annual-regulatory-index-for-mobile-money-for-2024-egypts-national-telecom-regulatory-authority-ntra-advanced/" TargetMode="External"/><Relationship Id="rId82" Type="http://schemas.openxmlformats.org/officeDocument/2006/relationships/hyperlink" Target="https://cgspace.cgiar.org/server/api/core/bitstreams/d4a33acc-564a-4e4c-a413-81ba3ebd4d90/content" TargetMode="External"/><Relationship Id="rId19" Type="http://schemas.openxmlformats.org/officeDocument/2006/relationships/hyperlink" Target="https://datareportal.com/reports/digital-2025-egypt" TargetMode="External"/><Relationship Id="rId14" Type="http://schemas.openxmlformats.org/officeDocument/2006/relationships/hyperlink" Target="https://encc-eg.org/en/pressroom/press.aspx?id=514" TargetMode="External"/><Relationship Id="rId22" Type="http://schemas.openxmlformats.org/officeDocument/2006/relationships/hyperlink" Target="https://oxfordbusinessgroup.com/reports/egypt/2022-report/economy/tools-of-the-trade-digitalisation-is-key-to-efforts-to-bolster-food-and-water-security" TargetMode="External"/><Relationship Id="rId27" Type="http://schemas.openxmlformats.org/officeDocument/2006/relationships/hyperlink" Target="https://medium.com/@abdelrhmansoliman96/egypts-foodtech-market-map-2024-a-comprehensive-analysis-of-the-digital-food-ecosystem-cbcd6d81814f" TargetMode="External"/><Relationship Id="rId30" Type="http://schemas.openxmlformats.org/officeDocument/2006/relationships/hyperlink" Target="https://www.itu.int/epublications/publication/global-cybersecurity-index-2024" TargetMode="External"/><Relationship Id="rId35" Type="http://schemas.openxmlformats.org/officeDocument/2006/relationships/hyperlink" Target="https://www.acc.com/sites/default/files/program-materials/upload/Data%20Protection%20Law%20-%20Egypt%20-%20EN%20-%20MBH.PDF" TargetMode="External"/><Relationship Id="rId43" Type="http://schemas.openxmlformats.org/officeDocument/2006/relationships/hyperlink" Target="https://www.g-fras.org/en/world-wide-extension-study/africa/northern-africa/egypt.html" TargetMode="External"/><Relationship Id="rId48" Type="http://schemas.openxmlformats.org/officeDocument/2006/relationships/hyperlink" Target="https://www.jica.go.jp/activities/issues/gender/reports/__icsFiles/afieldfile/2025/01/20/Egypt_English2018.pdf" TargetMode="External"/><Relationship Id="rId56" Type="http://schemas.openxmlformats.org/officeDocument/2006/relationships/hyperlink" Target="https://www.kenresearch.com/egypt-ai-in-mobile-agri-lending-platforms-market" TargetMode="External"/><Relationship Id="rId64" Type="http://schemas.openxmlformats.org/officeDocument/2006/relationships/hyperlink" Target="https://menaobservatory.ai/storage/CHOmuyRvzMEC5LmRtmNQMZHpjlZbEM-metaQTJLNEQgLSBNRU5BIEFJIC0gRm9vZCBTZWN1cml0eSAtIEVneXB0IC0gVjIucGRm-.pdf" TargetMode="External"/><Relationship Id="rId69" Type="http://schemas.openxmlformats.org/officeDocument/2006/relationships/hyperlink" Target="https://www.acc.com/sites/default/files/program-materials/upload/Data%20Protection%20Law%20-%20Egypt%20-%20EN%20-%20MBH.PDF" TargetMode="External"/><Relationship Id="rId77" Type="http://schemas.openxmlformats.org/officeDocument/2006/relationships/hyperlink" Target="https://cgspace.cgiar.org/server/api/core/bitstreams/9f8108a1-d7e7-54a1-8527-3111f8e4bfc0/content" TargetMode="External"/><Relationship Id="rId8" Type="http://schemas.openxmlformats.org/officeDocument/2006/relationships/hyperlink" Target="https://faolex.fao.org/docs/pdf/egy141040E.pdf" TargetMode="External"/><Relationship Id="rId51" Type="http://schemas.openxmlformats.org/officeDocument/2006/relationships/hyperlink" Target="https://api.worldbank.org/v2/country/EGY/indicator/GB.XPD.RSDV.GD.ZS?format=json" TargetMode="External"/><Relationship Id="rId72" Type="http://schemas.openxmlformats.org/officeDocument/2006/relationships/hyperlink" Target="https://api.worldbank.org/v2/country/EGY/indicator/FX.OWN.TOTL.MA.ZS?format=json" TargetMode="External"/><Relationship Id="rId80" Type="http://schemas.openxmlformats.org/officeDocument/2006/relationships/hyperlink" Target="https://cgspace.cgiar.org/server/api/core/bitstreams/d4a33acc-564a-4e4c-a413-81ba3ebd4d90/content" TargetMode="External"/><Relationship Id="rId3" Type="http://schemas.openxmlformats.org/officeDocument/2006/relationships/hyperlink" Target="https://api.worldbank.org/v2/country/EGY/indicator/SL.AGR.EMPL.ZS?format=json" TargetMode="External"/><Relationship Id="rId12" Type="http://schemas.openxmlformats.org/officeDocument/2006/relationships/hyperlink" Target="https://datahub.itu.int/docs/IDIDataset.xlsx" TargetMode="External"/><Relationship Id="rId17" Type="http://schemas.openxmlformats.org/officeDocument/2006/relationships/hyperlink" Target="https://encc-eg.org/en/pressroom/press.aspx?id=514" TargetMode="External"/><Relationship Id="rId25" Type="http://schemas.openxmlformats.org/officeDocument/2006/relationships/hyperlink" Target="https://www.sis.gov.eg/Story/193871/Digital-transformation-in-agro-sector-reviewed?lang=en-us" TargetMode="External"/><Relationship Id="rId33" Type="http://schemas.openxmlformats.org/officeDocument/2006/relationships/hyperlink" Target="https://mcit.gov.eg/Upcont/Documents/Publications_572021000_Egypt_Nation_%20Artificial_Intelligence_Strategy_05072021.pdf" TargetMode="External"/><Relationship Id="rId38" Type="http://schemas.openxmlformats.org/officeDocument/2006/relationships/hyperlink" Target="https://v45.diplomacy.edu/resource/egypts-national-ai-strategy-second-edition-2025-2030" TargetMode="External"/><Relationship Id="rId46" Type="http://schemas.openxmlformats.org/officeDocument/2006/relationships/hyperlink" Target="https://www.linkedin.com/posts/gizegypt_utilizing-communication-for-agricultural-activity-7211322361466208256-hpFX" TargetMode="External"/><Relationship Id="rId59" Type="http://schemas.openxmlformats.org/officeDocument/2006/relationships/hyperlink" Target="https://businessmonthlyeg.com/from-fields-to-fintech-agritech-transforms-egypts-farming-sector/" TargetMode="External"/><Relationship Id="rId67" Type="http://schemas.openxmlformats.org/officeDocument/2006/relationships/hyperlink" Target="https://cgspace.cgiar.org/server/api/core/bitstreams/d4a33acc-564a-4e4c-a413-81ba3ebd4d90/content" TargetMode="External"/><Relationship Id="rId20" Type="http://schemas.openxmlformats.org/officeDocument/2006/relationships/hyperlink" Target="https://desapublications.un.org/sites/default/files/publications/2024-10/Chapter%203%20%20E-Government%20Survey%202024.pdf" TargetMode="External"/><Relationship Id="rId41" Type="http://schemas.openxmlformats.org/officeDocument/2006/relationships/hyperlink" Target="https://api.worldbank.org/v2/country/EGY/indicator/SE.TER.ENRR?format=json" TargetMode="External"/><Relationship Id="rId54" Type="http://schemas.openxmlformats.org/officeDocument/2006/relationships/hyperlink" Target="https://egyptinnovate.com/en/&#1571;&#1582;&#1576;&#1575;&#1585;/agricash-secures-seed-funding-scale-ai-driven-agri-fintech-platform-egypt-and-beyond" TargetMode="External"/><Relationship Id="rId62" Type="http://schemas.openxmlformats.org/officeDocument/2006/relationships/hyperlink" Target="https://www.oecd.org/content/dam/oecd/en/publications/reports/2024/05/oecd-artificial-intelligence-review-of-egypt_3c437131/2a282726-en.pdf" TargetMode="External"/><Relationship Id="rId70" Type="http://schemas.openxmlformats.org/officeDocument/2006/relationships/hyperlink" Target="https://api.worldbank.org/v2/country/EGY/indicator/SN.ITK.DEFC.ZS?format=json" TargetMode="External"/><Relationship Id="rId75" Type="http://schemas.openxmlformats.org/officeDocument/2006/relationships/hyperlink" Target="https://aimg8.dlssyht.cn/u/551001/ueditor/file/276/551001/1688461001299595.pdf" TargetMode="External"/><Relationship Id="rId1" Type="http://schemas.openxmlformats.org/officeDocument/2006/relationships/hyperlink" Target="https://api.worldbank.org/v2/country/EGY/indicator/NV.AGR.EMPL.KD?format=json" TargetMode="External"/><Relationship Id="rId6" Type="http://schemas.openxmlformats.org/officeDocument/2006/relationships/hyperlink" Target="https://webapps.ifad.org/members/eb-seminars/2025-11-25-EB-Consultations/docs/EB-2025-OR-16.pdf" TargetMode="External"/><Relationship Id="rId15" Type="http://schemas.openxmlformats.org/officeDocument/2006/relationships/hyperlink" Target="https://api.worldbank.org/v2/country/EGY/indicator/IT.CEL.SETS.P2?format=json" TargetMode="External"/><Relationship Id="rId23" Type="http://schemas.openxmlformats.org/officeDocument/2006/relationships/hyperlink" Target="https://english.ahram.org.eg/News/560931.aspx" TargetMode="External"/><Relationship Id="rId28" Type="http://schemas.openxmlformats.org/officeDocument/2006/relationships/hyperlink" Target="https://www.sis.gov.eg/Story/193871/Digital-transformation-in-agro-sector-reviewed?lang=en-us" TargetMode="External"/><Relationship Id="rId36" Type="http://schemas.openxmlformats.org/officeDocument/2006/relationships/hyperlink" Target="https://www.sis.gov.eg/Story/193871/Digital-transformation-in-agro-sector-reviewed?lang=en-us" TargetMode="External"/><Relationship Id="rId49" Type="http://schemas.openxmlformats.org/officeDocument/2006/relationships/hyperlink" Target="https://www.jica.go.jp/activities/issues/gender/reports/__icsFiles/afieldfile/2025/01/20/Egypt_English2018.pdf" TargetMode="External"/><Relationship Id="rId57" Type="http://schemas.openxmlformats.org/officeDocument/2006/relationships/hyperlink" Target="https://www.dailynewsegypt.com/2021/07/14/agriculture-ministry-e-finance-launch-ai-powered-agri-egypt-digital-network/" TargetMode="External"/><Relationship Id="rId10" Type="http://schemas.openxmlformats.org/officeDocument/2006/relationships/hyperlink" Target="https://datahub.itu.int/docs/IDIDataset.xlsx" TargetMode="External"/><Relationship Id="rId31" Type="http://schemas.openxmlformats.org/officeDocument/2006/relationships/hyperlink" Target="https://english.ahram.org.eg/NewsContent/3/1239/560268/Business/Tech/Egypt-tops-Africa-in-AI-readiness,-ranks-st-global.aspx" TargetMode="External"/><Relationship Id="rId44" Type="http://schemas.openxmlformats.org/officeDocument/2006/relationships/hyperlink" Target="https://www.g-fras.org/en/world-wide-extension-study/africa/northern-africa/egypt.html" TargetMode="External"/><Relationship Id="rId52" Type="http://schemas.openxmlformats.org/officeDocument/2006/relationships/hyperlink" Target="https://www.worldbank.org/en/businessready/data" TargetMode="External"/><Relationship Id="rId60" Type="http://schemas.openxmlformats.org/officeDocument/2006/relationships/hyperlink" Target="https://egypt.un.org/en/106025-fao-malr-invite-extension-agents-use-&#8220;el-mufeed&#8221;-app-and-disseminate-among-targeted-groups" TargetMode="External"/><Relationship Id="rId65" Type="http://schemas.openxmlformats.org/officeDocument/2006/relationships/hyperlink" Target="https://www.sis.gov.eg/Story/193871/Digital-transformation-in-agro-sector-reviewed?lang=en-us" TargetMode="External"/><Relationship Id="rId73" Type="http://schemas.openxmlformats.org/officeDocument/2006/relationships/hyperlink" Target="https://data.finstatglobe.com/egypt/mobile-money-account-statistics" TargetMode="External"/><Relationship Id="rId78" Type="http://schemas.openxmlformats.org/officeDocument/2006/relationships/hyperlink" Target="https://cgspace.cgiar.org/server/api/core/bitstreams/d73ebd26-83c6-4404-b19f-f1ceaf2af570/content" TargetMode="External"/><Relationship Id="rId81" Type="http://schemas.openxmlformats.org/officeDocument/2006/relationships/hyperlink" Target="https://faolex.fao.org/docs/pdf/egy141040E.pdf" TargetMode="External"/><Relationship Id="rId4" Type="http://schemas.openxmlformats.org/officeDocument/2006/relationships/hyperlink" Target="https://api.worldbank.org/v2/country/EGY/indicator/AG.PRD.FOOD.XD?format=json" TargetMode="External"/><Relationship Id="rId9" Type="http://schemas.openxmlformats.org/officeDocument/2006/relationships/hyperlink" Target="https://www.sis.gov.eg/Story/193871/Digital-transformation-in-agro-sector-reviewed?lang=en-us" TargetMode="External"/><Relationship Id="rId13" Type="http://schemas.openxmlformats.org/officeDocument/2006/relationships/hyperlink" Target="https://api.worldbank.org/v2/country/EGY/indicator/IT.NET.USER.ZS?format=json" TargetMode="External"/><Relationship Id="rId18" Type="http://schemas.openxmlformats.org/officeDocument/2006/relationships/hyperlink" Target="https://api.worldbank.org/v2/country/EGY/indicator/EG.ELC.ACCS.RU.ZS?format=json" TargetMode="External"/><Relationship Id="rId39" Type="http://schemas.openxmlformats.org/officeDocument/2006/relationships/hyperlink" Target="https://hdr.undp.org/data-center/country-insights" TargetMode="External"/><Relationship Id="rId34" Type="http://schemas.openxmlformats.org/officeDocument/2006/relationships/hyperlink" Target="https://documents1.worldbank.org/curated/en/099705012232226786/pdf/P176341032c1ef0b20adf10abad304425ef.pdf" TargetMode="External"/><Relationship Id="rId50" Type="http://schemas.openxmlformats.org/officeDocument/2006/relationships/hyperlink" Target="https://www.wipo.int/edocs/gii-ranking/2024/eg.pdf" TargetMode="External"/><Relationship Id="rId55" Type="http://schemas.openxmlformats.org/officeDocument/2006/relationships/hyperlink" Target="https://flat6labs.com/programs-type/programs-for-entrepreneurs/" TargetMode="External"/><Relationship Id="rId76" Type="http://schemas.openxmlformats.org/officeDocument/2006/relationships/hyperlink" Target="https://cgspace.cgiar.org/server/api/core/bitstreams/9f8108a1-d7e7-54a1-8527-3111f8e4bfc0/content" TargetMode="External"/><Relationship Id="rId7" Type="http://schemas.openxmlformats.org/officeDocument/2006/relationships/hyperlink" Target="https://www.mdpi.com/1911-8074/17/11/487" TargetMode="External"/><Relationship Id="rId71" Type="http://schemas.openxmlformats.org/officeDocument/2006/relationships/hyperlink" Target="https://api.worldbank.org/v2/country/EGY/indicator/FX.OWN.TOTL.FE.ZS?format=json" TargetMode="External"/><Relationship Id="rId2" Type="http://schemas.openxmlformats.org/officeDocument/2006/relationships/hyperlink" Target="https://api.worldbank.org/v2/country/EGY/indicator/AG.YLD.CREL.KG?format=json" TargetMode="External"/><Relationship Id="rId29" Type="http://schemas.openxmlformats.org/officeDocument/2006/relationships/hyperlink" Target="https://www.acc.com/sites/default/files/program-materials/upload/Data%20Protection%20Law%20-%20Egypt%20-%20EN%20-%20MBH.PDF" TargetMode="External"/><Relationship Id="rId24" Type="http://schemas.openxmlformats.org/officeDocument/2006/relationships/hyperlink" Target="https://cgspace.cgiar.org/server/api/core/bitstreams/d4a33acc-564a-4e4c-a413-81ba3ebd4d90/content" TargetMode="External"/><Relationship Id="rId40" Type="http://schemas.openxmlformats.org/officeDocument/2006/relationships/hyperlink" Target="https://api.worldbank.org/v2/country/EGY/indicator/SE.ADT.LITR.ZS?format=json" TargetMode="External"/><Relationship Id="rId45" Type="http://schemas.openxmlformats.org/officeDocument/2006/relationships/hyperlink" Target="https://www.zawya.com/en/business/egyptian-government-reviews-digital-transformation-projects-in-agricultural-sector-sed7vbfx" TargetMode="External"/><Relationship Id="rId66" Type="http://schemas.openxmlformats.org/officeDocument/2006/relationships/hyperlink" Target="https://egyptinnovate.com/en/&#1571;&#1582;&#1576;&#1575;&#1585;/agricash-secures-seed-funding-scale-ai-driven-agri-fintech-platform-egypt-and-beyo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7"/>
  <sheetViews>
    <sheetView zoomScaleNormal="100" workbookViewId="0"/>
  </sheetViews>
  <sheetFormatPr baseColWidth="10" defaultColWidth="8.6640625" defaultRowHeight="15"/>
  <cols>
    <col min="1" max="1" width="3" customWidth="1"/>
    <col min="2" max="2" width="32" customWidth="1"/>
    <col min="3" max="3" width="110" customWidth="1"/>
  </cols>
  <sheetData>
    <row r="1" spans="2:3" ht="7.5" customHeight="1"/>
    <row r="2" spans="2:3" ht="27.75" customHeight="1">
      <c r="B2" s="3" t="s">
        <v>0</v>
      </c>
    </row>
    <row r="3" spans="2:3" ht="18" customHeight="1">
      <c r="B3" s="4" t="s">
        <v>1</v>
      </c>
    </row>
    <row r="5" spans="2:3" ht="15.75" customHeight="1">
      <c r="B5" s="5" t="s">
        <v>2</v>
      </c>
    </row>
    <row r="7" spans="2:3" ht="42" customHeight="1">
      <c r="B7" s="6" t="s">
        <v>3</v>
      </c>
      <c r="C7" s="7" t="s">
        <v>4</v>
      </c>
    </row>
    <row r="8" spans="2:3" ht="42" customHeight="1">
      <c r="B8" s="6" t="s">
        <v>5</v>
      </c>
      <c r="C8" s="7" t="s">
        <v>6</v>
      </c>
    </row>
    <row r="9" spans="2:3" ht="42" customHeight="1">
      <c r="B9" s="6" t="s">
        <v>7</v>
      </c>
      <c r="C9" s="7" t="s">
        <v>8</v>
      </c>
    </row>
    <row r="10" spans="2:3" ht="42" customHeight="1">
      <c r="B10" s="6" t="s">
        <v>9</v>
      </c>
      <c r="C10" s="7" t="s">
        <v>10</v>
      </c>
    </row>
    <row r="11" spans="2:3" ht="42" customHeight="1">
      <c r="B11" s="6" t="s">
        <v>11</v>
      </c>
      <c r="C11" s="7" t="s">
        <v>12</v>
      </c>
    </row>
    <row r="12" spans="2:3" ht="42" customHeight="1">
      <c r="B12" s="6" t="s">
        <v>13</v>
      </c>
      <c r="C12" s="7" t="s">
        <v>14</v>
      </c>
    </row>
    <row r="13" spans="2:3" ht="42" customHeight="1">
      <c r="B13" s="6" t="s">
        <v>15</v>
      </c>
      <c r="C13" s="7" t="s">
        <v>16</v>
      </c>
    </row>
    <row r="14" spans="2:3" ht="42" customHeight="1">
      <c r="B14" s="6" t="s">
        <v>17</v>
      </c>
      <c r="C14" s="7" t="s">
        <v>18</v>
      </c>
    </row>
    <row r="16" spans="2:3" ht="15.75" customHeight="1">
      <c r="B16" s="5" t="s">
        <v>19</v>
      </c>
    </row>
    <row r="18" spans="2:3" ht="33.75" customHeight="1">
      <c r="B18" s="8" t="s">
        <v>20</v>
      </c>
      <c r="C18" s="7" t="s">
        <v>21</v>
      </c>
    </row>
    <row r="19" spans="2:3" ht="33.75" customHeight="1">
      <c r="B19" s="8" t="s">
        <v>22</v>
      </c>
      <c r="C19" s="7" t="s">
        <v>23</v>
      </c>
    </row>
    <row r="20" spans="2:3" ht="33.75" customHeight="1">
      <c r="B20" s="8" t="s">
        <v>24</v>
      </c>
      <c r="C20" s="7" t="s">
        <v>25</v>
      </c>
    </row>
    <row r="21" spans="2:3" ht="33.75" customHeight="1">
      <c r="B21" s="8" t="s">
        <v>26</v>
      </c>
      <c r="C21" s="7" t="s">
        <v>27</v>
      </c>
    </row>
    <row r="22" spans="2:3" ht="33.75" customHeight="1">
      <c r="B22" s="8" t="s">
        <v>28</v>
      </c>
      <c r="C22" s="7" t="s">
        <v>29</v>
      </c>
    </row>
    <row r="23" spans="2:3" ht="33.75" customHeight="1">
      <c r="B23" s="8" t="s">
        <v>30</v>
      </c>
      <c r="C23" s="7" t="s">
        <v>31</v>
      </c>
    </row>
    <row r="25" spans="2:3" ht="15.75" customHeight="1">
      <c r="B25" s="5" t="s">
        <v>32</v>
      </c>
    </row>
    <row r="27" spans="2:3" ht="15" customHeight="1">
      <c r="B27" s="9" t="s">
        <v>33</v>
      </c>
      <c r="C27" s="10" t="s">
        <v>34</v>
      </c>
    </row>
    <row r="28" spans="2:3" ht="15" customHeight="1">
      <c r="B28" s="9" t="s">
        <v>35</v>
      </c>
      <c r="C28" s="10" t="s">
        <v>36</v>
      </c>
    </row>
    <row r="29" spans="2:3" ht="15" customHeight="1">
      <c r="B29" s="9" t="s">
        <v>37</v>
      </c>
      <c r="C29" s="10" t="s">
        <v>38</v>
      </c>
    </row>
    <row r="30" spans="2:3" ht="15" customHeight="1">
      <c r="B30" s="9" t="s">
        <v>39</v>
      </c>
      <c r="C30" s="10" t="s">
        <v>40</v>
      </c>
    </row>
    <row r="31" spans="2:3" ht="15" customHeight="1">
      <c r="B31" s="9" t="s">
        <v>41</v>
      </c>
      <c r="C31" s="10" t="s">
        <v>42</v>
      </c>
    </row>
    <row r="32" spans="2:3" ht="15" customHeight="1">
      <c r="B32" s="9" t="s">
        <v>43</v>
      </c>
      <c r="C32" s="10" t="s">
        <v>44</v>
      </c>
    </row>
    <row r="33" spans="2:3" ht="15" customHeight="1">
      <c r="B33" s="9" t="s">
        <v>45</v>
      </c>
      <c r="C33" s="10" t="s">
        <v>46</v>
      </c>
    </row>
    <row r="34" spans="2:3" ht="15" customHeight="1">
      <c r="B34" s="9" t="s">
        <v>47</v>
      </c>
      <c r="C34" s="10" t="s">
        <v>48</v>
      </c>
    </row>
    <row r="35" spans="2:3" ht="15" customHeight="1">
      <c r="B35" s="9" t="s">
        <v>49</v>
      </c>
      <c r="C35" s="10" t="s">
        <v>50</v>
      </c>
    </row>
    <row r="36" spans="2:3" ht="15" customHeight="1">
      <c r="B36" s="9" t="s">
        <v>51</v>
      </c>
      <c r="C36" s="10" t="s">
        <v>52</v>
      </c>
    </row>
    <row r="37" spans="2:3" ht="15" customHeight="1">
      <c r="B37" s="9" t="s">
        <v>53</v>
      </c>
      <c r="C37" s="10" t="s">
        <v>54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37"/>
  <sheetViews>
    <sheetView topLeftCell="A15" zoomScaleNormal="100" workbookViewId="0"/>
  </sheetViews>
  <sheetFormatPr baseColWidth="10" defaultColWidth="8.6640625" defaultRowHeight="15"/>
  <cols>
    <col min="1" max="1" width="3" customWidth="1"/>
    <col min="2" max="2" width="26" customWidth="1"/>
    <col min="3" max="3" width="42" customWidth="1"/>
    <col min="4" max="4" width="16" customWidth="1"/>
    <col min="5" max="5" width="14" customWidth="1"/>
    <col min="6" max="6" width="18" customWidth="1"/>
    <col min="7" max="7" width="12" customWidth="1"/>
    <col min="8" max="8" width="14" customWidth="1"/>
    <col min="9" max="10" width="22" customWidth="1"/>
  </cols>
  <sheetData>
    <row r="1" spans="2:10" ht="7.5" customHeight="1"/>
    <row r="2" spans="2:10" ht="27.75" customHeight="1">
      <c r="B2" s="3" t="s">
        <v>55</v>
      </c>
    </row>
    <row r="3" spans="2:10" ht="18" customHeight="1">
      <c r="B3" s="4" t="s">
        <v>56</v>
      </c>
    </row>
    <row r="5" spans="2:10" ht="15.75" customHeight="1">
      <c r="B5" s="5" t="s">
        <v>57</v>
      </c>
    </row>
    <row r="6" spans="2:10" ht="30" customHeight="1">
      <c r="B6" s="11" t="s">
        <v>58</v>
      </c>
      <c r="C6" s="11" t="s">
        <v>59</v>
      </c>
      <c r="D6" s="11" t="s">
        <v>60</v>
      </c>
      <c r="E6" s="11" t="s">
        <v>61</v>
      </c>
      <c r="F6" s="11" t="s">
        <v>62</v>
      </c>
      <c r="G6" s="11" t="s">
        <v>63</v>
      </c>
      <c r="H6" s="11" t="s">
        <v>64</v>
      </c>
      <c r="I6" s="11" t="s">
        <v>65</v>
      </c>
      <c r="J6" s="11" t="s">
        <v>66</v>
      </c>
    </row>
    <row r="7" spans="2:10" ht="15" customHeight="1">
      <c r="B7" s="12" t="s">
        <v>67</v>
      </c>
      <c r="C7" s="13" t="s">
        <v>68</v>
      </c>
      <c r="D7" s="12" t="s">
        <v>69</v>
      </c>
      <c r="E7" s="12">
        <f>COUNTIF('Egypt (worked)'!$D$8:$D$109,"C0")</f>
        <v>8</v>
      </c>
      <c r="F7" s="12">
        <f>SUMPRODUCT(('Egypt (worked)'!$D$8:$D$109="C0")*ISNUMBER('Egypt (worked)'!$L$8:$L$109))</f>
        <v>0</v>
      </c>
      <c r="G7" s="14">
        <f t="shared" ref="G7:G14" si="0">IF(E7=0,0,F7/E7)</f>
        <v>0</v>
      </c>
      <c r="H7" s="12" t="str">
        <f>"—"</f>
        <v>—</v>
      </c>
      <c r="I7" s="12" t="str">
        <f>"Context (never scored)"</f>
        <v>Context (never scored)</v>
      </c>
      <c r="J7" s="12" t="str">
        <f>""</f>
        <v/>
      </c>
    </row>
    <row r="8" spans="2:10" ht="15" customHeight="1">
      <c r="B8" s="15" t="s">
        <v>70</v>
      </c>
      <c r="C8" s="16" t="s">
        <v>71</v>
      </c>
      <c r="D8" s="15" t="s">
        <v>72</v>
      </c>
      <c r="E8" s="15">
        <f>COUNTIF('Egypt (worked)'!$D$8:$D$109,"C1")</f>
        <v>11</v>
      </c>
      <c r="F8" s="15">
        <f>SUMPRODUCT(('Egypt (worked)'!$D$8:$D$109="C1")*ISNUMBER('Egypt (worked)'!$L$8:$L$109))</f>
        <v>11</v>
      </c>
      <c r="G8" s="17">
        <f t="shared" si="0"/>
        <v>1</v>
      </c>
      <c r="H8" s="18">
        <f>IF(G8&lt;Cov_Pillar,"Not rated",IF(F8=0,"Not rated",AVERAGEIFS('Egypt (worked)'!$L$8:$L$109,'Egypt (worked)'!$D$8:$D$109,"C1")))</f>
        <v>3.8181818181818183</v>
      </c>
      <c r="I8" s="15" t="str">
        <f t="shared" ref="I8:I14" si="1">IF(NOT(ISNUMBER(H8)),H8,IF(H8&lt;BandL2_from,"Nascent",IF(H8&lt;BandL3_from,"Emerging",IF(H8&lt;BandL4_from,"Established",IF(H8&lt;BandL5_from,"Advanced","Transformative")))))</f>
        <v>Advanced</v>
      </c>
      <c r="J8" s="15" t="str">
        <f>IF(G8&lt;Cov_Pillar,"⚑ COVERAGE",IF(SUMPRODUCT(('Egypt (worked)'!$D$8:$D$109="C1")*('Egypt (worked)'!$O$8:$O$109="STALE"))&gt;0,"⚑ Stale evidence",""))</f>
        <v>⚑ Stale evidence</v>
      </c>
    </row>
    <row r="9" spans="2:10" ht="15" customHeight="1">
      <c r="B9" s="15" t="s">
        <v>73</v>
      </c>
      <c r="C9" s="16" t="s">
        <v>74</v>
      </c>
      <c r="D9" s="15" t="s">
        <v>72</v>
      </c>
      <c r="E9" s="15">
        <f>COUNTIF('Egypt (worked)'!$D$8:$D$109,"C2")</f>
        <v>13</v>
      </c>
      <c r="F9" s="15">
        <f>SUMPRODUCT(('Egypt (worked)'!$D$8:$D$109="C2")*ISNUMBER('Egypt (worked)'!$L$8:$L$109))</f>
        <v>13</v>
      </c>
      <c r="G9" s="17">
        <f t="shared" si="0"/>
        <v>1</v>
      </c>
      <c r="H9" s="18">
        <f>IF(G9&lt;Cov_Pillar,"Not rated",IF(F9=0,"Not rated",AVERAGEIFS('Egypt (worked)'!$L$8:$L$109,'Egypt (worked)'!$D$8:$D$109,"C2")))</f>
        <v>2.7692307692307692</v>
      </c>
      <c r="I9" s="15" t="str">
        <f t="shared" si="1"/>
        <v>Established</v>
      </c>
      <c r="J9" s="15" t="str">
        <f>IF(G9&lt;Cov_Pillar,"⚑ COVERAGE",IF(SUMPRODUCT(('Egypt (worked)'!$D$8:$D$109="C2")*('Egypt (worked)'!$O$8:$O$109="STALE"))&gt;0,"⚑ Stale evidence",""))</f>
        <v/>
      </c>
    </row>
    <row r="10" spans="2:10" ht="15" customHeight="1">
      <c r="B10" s="15" t="s">
        <v>75</v>
      </c>
      <c r="C10" s="16" t="s">
        <v>76</v>
      </c>
      <c r="D10" s="15" t="s">
        <v>72</v>
      </c>
      <c r="E10" s="15">
        <f>COUNTIF('Egypt (worked)'!$D$8:$D$109,"C3")</f>
        <v>13</v>
      </c>
      <c r="F10" s="15">
        <f>SUMPRODUCT(('Egypt (worked)'!$D$8:$D$109="C3")*ISNUMBER('Egypt (worked)'!$L$8:$L$109))</f>
        <v>13</v>
      </c>
      <c r="G10" s="17">
        <f t="shared" si="0"/>
        <v>1</v>
      </c>
      <c r="H10" s="18">
        <f>IF(G10&lt;Cov_Pillar,"Not rated",IF(F10=0,"Not rated",AVERAGEIFS('Egypt (worked)'!$L$8:$L$109,'Egypt (worked)'!$D$8:$D$109,"C3")))</f>
        <v>3.1538461538461537</v>
      </c>
      <c r="I10" s="15" t="str">
        <f t="shared" si="1"/>
        <v>Established</v>
      </c>
      <c r="J10" s="15" t="str">
        <f>IF(G10&lt;Cov_Pillar,"⚑ COVERAGE",IF(SUMPRODUCT(('Egypt (worked)'!$D$8:$D$109="C3")*('Egypt (worked)'!$O$8:$O$109="STALE"))&gt;0,"⚑ Stale evidence",""))</f>
        <v>⚑ Stale evidence</v>
      </c>
    </row>
    <row r="11" spans="2:10" ht="15" customHeight="1">
      <c r="B11" s="15" t="s">
        <v>77</v>
      </c>
      <c r="C11" s="16" t="s">
        <v>78</v>
      </c>
      <c r="D11" s="15" t="s">
        <v>72</v>
      </c>
      <c r="E11" s="15">
        <f>COUNTIF('Egypt (worked)'!$D$8:$D$109,"C4")</f>
        <v>14</v>
      </c>
      <c r="F11" s="15">
        <f>SUMPRODUCT(('Egypt (worked)'!$D$8:$D$109="C4")*ISNUMBER('Egypt (worked)'!$L$8:$L$109))</f>
        <v>13</v>
      </c>
      <c r="G11" s="17">
        <f t="shared" si="0"/>
        <v>0.9285714285714286</v>
      </c>
      <c r="H11" s="18">
        <f>IF(G11&lt;Cov_Pillar,"Not rated",IF(F11=0,"Not rated",AVERAGEIFS('Egypt (worked)'!$L$8:$L$109,'Egypt (worked)'!$D$8:$D$109,"C4")))</f>
        <v>2.4615384615384617</v>
      </c>
      <c r="I11" s="15" t="str">
        <f t="shared" si="1"/>
        <v>Emerging</v>
      </c>
      <c r="J11" s="15" t="str">
        <f>IF(G11&lt;Cov_Pillar,"⚑ COVERAGE",IF(SUMPRODUCT(('Egypt (worked)'!$D$8:$D$109="C4")*('Egypt (worked)'!$O$8:$O$109="STALE"))&gt;0,"⚑ Stale evidence",""))</f>
        <v>⚑ Stale evidence</v>
      </c>
    </row>
    <row r="12" spans="2:10" ht="15" customHeight="1">
      <c r="B12" s="19" t="s">
        <v>79</v>
      </c>
      <c r="C12" s="20" t="s">
        <v>80</v>
      </c>
      <c r="D12" s="19" t="s">
        <v>81</v>
      </c>
      <c r="E12" s="19">
        <f>COUNTIF('Egypt (worked)'!$D$8:$D$109,"E1")</f>
        <v>14</v>
      </c>
      <c r="F12" s="19">
        <f>SUMPRODUCT(('Egypt (worked)'!$D$8:$D$109="E1")*ISNUMBER('Egypt (worked)'!$L$8:$L$109))</f>
        <v>13</v>
      </c>
      <c r="G12" s="21">
        <f t="shared" si="0"/>
        <v>0.9285714285714286</v>
      </c>
      <c r="H12" s="22">
        <f>IF(G12&lt;Cov_Pillar,"Not rated",IF(F12=0,"Not rated",AVERAGEIFS('Egypt (worked)'!$L$8:$L$109,'Egypt (worked)'!$D$8:$D$109,"E1")))</f>
        <v>3</v>
      </c>
      <c r="I12" s="19" t="str">
        <f t="shared" si="1"/>
        <v>Established</v>
      </c>
      <c r="J12" s="19" t="str">
        <f>IF(G12&lt;Cov_Pillar,"⚑ COVERAGE",IF(SUMPRODUCT(('Egypt (worked)'!$D$8:$D$109="E1")*('Egypt (worked)'!$O$8:$O$109="STALE"))&gt;0,"⚑ Stale evidence",""))</f>
        <v>⚑ Stale evidence</v>
      </c>
    </row>
    <row r="13" spans="2:10" ht="15" customHeight="1">
      <c r="B13" s="19" t="s">
        <v>82</v>
      </c>
      <c r="C13" s="20" t="s">
        <v>83</v>
      </c>
      <c r="D13" s="19" t="s">
        <v>81</v>
      </c>
      <c r="E13" s="19">
        <f>COUNTIF('Egypt (worked)'!$D$8:$D$109,"E2")</f>
        <v>12</v>
      </c>
      <c r="F13" s="19">
        <f>SUMPRODUCT(('Egypt (worked)'!$D$8:$D$109="E2")*ISNUMBER('Egypt (worked)'!$L$8:$L$109))</f>
        <v>12</v>
      </c>
      <c r="G13" s="21">
        <f t="shared" si="0"/>
        <v>1</v>
      </c>
      <c r="H13" s="22">
        <f>IF(G13&lt;Cov_Pillar,"Not rated",IF(F13=0,"Not rated",AVERAGEIFS('Egypt (worked)'!$L$8:$L$109,'Egypt (worked)'!$D$8:$D$109,"E2")))</f>
        <v>2.6666666666666665</v>
      </c>
      <c r="I13" s="19" t="str">
        <f t="shared" si="1"/>
        <v>Established</v>
      </c>
      <c r="J13" s="19" t="str">
        <f>IF(G13&lt;Cov_Pillar,"⚑ COVERAGE",IF(SUMPRODUCT(('Egypt (worked)'!$D$8:$D$109="E2")*('Egypt (worked)'!$O$8:$O$109="STALE"))&gt;0,"⚑ Stale evidence",""))</f>
        <v>⚑ Stale evidence</v>
      </c>
    </row>
    <row r="14" spans="2:10" ht="15" customHeight="1">
      <c r="B14" s="23" t="s">
        <v>84</v>
      </c>
      <c r="C14" s="24" t="s">
        <v>85</v>
      </c>
      <c r="D14" s="23" t="s">
        <v>86</v>
      </c>
      <c r="E14" s="23">
        <f>COUNTIF('Egypt (worked)'!$D$8:$D$109,"O1")</f>
        <v>17</v>
      </c>
      <c r="F14" s="23">
        <f>SUMPRODUCT(('Egypt (worked)'!$D$8:$D$109="O1")*ISNUMBER('Egypt (worked)'!$L$8:$L$109))</f>
        <v>17</v>
      </c>
      <c r="G14" s="25">
        <f t="shared" si="0"/>
        <v>1</v>
      </c>
      <c r="H14" s="26">
        <f>IF(G14&lt;Cov_Pillar,"Not rated",IF(F14=0,"Not rated",AVERAGEIFS('Egypt (worked)'!$L$8:$L$109,'Egypt (worked)'!$D$8:$D$109,"O1")))</f>
        <v>2.4117647058823528</v>
      </c>
      <c r="I14" s="23" t="str">
        <f t="shared" si="1"/>
        <v>Emerging</v>
      </c>
      <c r="J14" s="23" t="str">
        <f>IF(G14&lt;Cov_Pillar,"⚑ COVERAGE",IF(SUMPRODUCT(('Egypt (worked)'!$D$8:$D$109="O1")*('Egypt (worked)'!$O$8:$O$109="STALE"))&gt;0,"⚑ Stale evidence",""))</f>
        <v>⚑ Stale evidence</v>
      </c>
    </row>
    <row r="16" spans="2:10" ht="15.75" customHeight="1">
      <c r="B16" s="5" t="s">
        <v>87</v>
      </c>
    </row>
    <row r="17" spans="2:8" ht="27.75" customHeight="1">
      <c r="B17" s="11" t="s">
        <v>88</v>
      </c>
      <c r="C17" s="11" t="s">
        <v>89</v>
      </c>
      <c r="D17" s="11" t="s">
        <v>63</v>
      </c>
      <c r="E17" s="11" t="s">
        <v>90</v>
      </c>
      <c r="F17" s="11" t="s">
        <v>65</v>
      </c>
      <c r="G17" s="11" t="s">
        <v>91</v>
      </c>
    </row>
    <row r="18" spans="2:8" ht="15" customHeight="1">
      <c r="B18" s="27" t="s">
        <v>92</v>
      </c>
      <c r="C18" s="28" t="s">
        <v>93</v>
      </c>
      <c r="D18" s="29">
        <f>IF(SUM(E8:E11)=0,0,SUM(F8:F11)/SUM(E8:E11))</f>
        <v>0.98039215686274506</v>
      </c>
      <c r="E18" s="30">
        <f>IF(OR(NOT(ISNUMBER(H8)),NOT(ISNUMBER(H9)),NOT(ISNUMBER(H10)),NOT(ISNUMBER(H11))),"Not rated",IF(D18&lt;Cov_CMS,"Not rated",SUMPRODUCT(H8:H11,Config!$D$35:$D$38)))</f>
        <v>3.0660839160839162</v>
      </c>
      <c r="F18" s="31" t="str">
        <f>IF(NOT(ISNUMBER(E18)),E18,IF(E18&lt;BandL2_from,"Nascent",IF(E18&lt;BandL3_from,"Emerging",IF(E18&lt;BandL4_from,"Established",IF(E18&lt;BandL5_from,"Advanced","Transformative")))))</f>
        <v>Established</v>
      </c>
      <c r="G18" s="31" t="str">
        <f>IF(NOT(ISNUMBER(E18)),"No","Yes")</f>
        <v>Yes</v>
      </c>
    </row>
    <row r="19" spans="2:8" ht="15" customHeight="1">
      <c r="B19" s="27" t="s">
        <v>94</v>
      </c>
      <c r="C19" s="28" t="s">
        <v>95</v>
      </c>
      <c r="D19" s="29">
        <f>IF(SUM(E12:E13)=0,0,SUM(F12:F13)/SUM(E12:E13))</f>
        <v>0.96153846153846156</v>
      </c>
      <c r="E19" s="30">
        <f>IF(OR(NOT(ISNUMBER(H12)),NOT(ISNUMBER(H13))),"Not rated",IF(D19&lt;Cov_EMS,"Not rated",SUMPRODUCT(H12:H13,Config!$D$39:$D$40)))</f>
        <v>2.8999999999999995</v>
      </c>
      <c r="F19" s="31" t="str">
        <f>IF(NOT(ISNUMBER(E19)),E19,IF(E19&lt;BandL2_from,"Nascent",IF(E19&lt;BandL3_from,"Emerging",IF(E19&lt;BandL4_from,"Established",IF(E19&lt;BandL5_from,"Advanced","Transformative")))))</f>
        <v>Established</v>
      </c>
      <c r="G19" s="31" t="str">
        <f>IF(NOT(ISNUMBER(E19)),"No","Yes")</f>
        <v>Yes</v>
      </c>
    </row>
    <row r="20" spans="2:8" ht="15" customHeight="1">
      <c r="B20" s="27" t="s">
        <v>96</v>
      </c>
      <c r="C20" s="28" t="s">
        <v>97</v>
      </c>
      <c r="D20" s="29">
        <f>IF(E14=0,0,F14/E14)</f>
        <v>1</v>
      </c>
      <c r="E20" s="30">
        <f>IF(NOT(ISNUMBER(H14)),"Not rated",H14)</f>
        <v>2.4117647058823528</v>
      </c>
      <c r="F20" s="31" t="str">
        <f>IF(NOT(ISNUMBER(E20)),E20,IF(E20&lt;BandL2_from,"Nascent",IF(E20&lt;BandL3_from,"Emerging",IF(E20&lt;BandL4_from,"Established",IF(E20&lt;BandL5_from,"Advanced","Transformative")))))</f>
        <v>Emerging</v>
      </c>
      <c r="G20" s="31" t="str">
        <f>IF(NOT(ISNUMBER(E20)),"No","Yes")</f>
        <v>Yes</v>
      </c>
    </row>
    <row r="22" spans="2:8" ht="15.75" customHeight="1">
      <c r="B22" s="5" t="s">
        <v>98</v>
      </c>
    </row>
    <row r="23" spans="2:8" ht="15" customHeight="1">
      <c r="B23" s="11" t="s">
        <v>99</v>
      </c>
      <c r="C23" s="11" t="s">
        <v>100</v>
      </c>
      <c r="D23" s="11" t="s">
        <v>101</v>
      </c>
    </row>
    <row r="24" spans="2:8" ht="15" customHeight="1">
      <c r="B24" t="s">
        <v>102</v>
      </c>
      <c r="C24">
        <f>SUMPRODUCT(('Egypt (worked)'!$G$8:$G$109="YES")*('Egypt (worked)'!$L$8:$L$109=1))</f>
        <v>0</v>
      </c>
      <c r="D24" t="s">
        <v>103</v>
      </c>
    </row>
    <row r="25" spans="2:8" ht="15" customHeight="1">
      <c r="B25" t="s">
        <v>104</v>
      </c>
      <c r="C25">
        <f>SUMPRODUCT(('Egypt (worked)'!$G$8:$G$109="YES")*(NOT(ISNUMBER('Egypt (worked)'!$L$8:$L$109))))</f>
        <v>0</v>
      </c>
      <c r="D25" t="s">
        <v>105</v>
      </c>
    </row>
    <row r="26" spans="2:8" ht="15" customHeight="1">
      <c r="B26" t="s">
        <v>106</v>
      </c>
      <c r="C26">
        <f>SUMPRODUCT(('Egypt (worked)'!$G$8:$G$109="YES")*('Egypt (worked)'!$L$8:$L$109&gt;=3))</f>
        <v>12</v>
      </c>
      <c r="D26" t="s">
        <v>107</v>
      </c>
    </row>
    <row r="27" spans="2:8" ht="15.75" customHeight="1">
      <c r="B27" s="5" t="s">
        <v>108</v>
      </c>
    </row>
    <row r="28" spans="2:8" ht="25.5" customHeight="1">
      <c r="B28" s="32" t="s">
        <v>109</v>
      </c>
      <c r="C28" s="2" t="str">
        <f>IF(C25&gt;0,"Suppressed (unmeasured core gate)",IF(C24&gt;0,"Stage 1 — Foundation constrained (core gate at L1)",IF(NOT(ISNUMBER(E18)),"Not rated (CMS coverage/pillar)",IF(AND(ISNUMBER(E18),E18&gt;=Stage5_CMS,ISNUMBER(E19),E19&gt;=Stage5_EMS,ISNUMBER(E20),E20&gt;=Stage5_OES),"Stage 5 — Transformative",IF(AND(ISNUMBER(E18),E18&gt;=Stage4_CMS,ISNUMBER(E19),E19&gt;=Stage4_EMS,ISNUMBER(E20),E20&gt;=Stage4_OES),"Stage 4 — Integrated scale",IF(AND(ISNUMBER(E18),E18&gt;=Stage3_CMS,ISNUMBER(E19),E19&gt;=Stage3_EMS),"Stage 3 — Ecosystem scaling",IF(ISNUMBER(E18),IF(E18&gt;=Stage2_CMS,"Stage 2 — Capability building","Stage 1 — Foundation constrained"),"Not rated")))))))</f>
        <v>Stage 2 — Capability building</v>
      </c>
      <c r="D28" s="2"/>
      <c r="E28" s="2"/>
      <c r="F28" s="2"/>
      <c r="G28" s="2"/>
      <c r="H28" s="2"/>
    </row>
    <row r="29" spans="2:8" ht="15" customHeight="1">
      <c r="B29" s="9" t="s">
        <v>110</v>
      </c>
      <c r="C29" s="1" t="str">
        <f>IF("'Egypt (worked)'"="'Egypt (worked)'","ENGAGEMENT PACKAGE — pre-mandate. No stage is claimable until human validation.","Assessed — validated by government / evidence panel.")</f>
        <v>ENGAGEMENT PACKAGE — pre-mandate. No stage is claimable until human validation.</v>
      </c>
      <c r="D29" s="1"/>
      <c r="E29" s="1"/>
      <c r="F29" s="1"/>
      <c r="G29" s="1"/>
      <c r="H29" s="1"/>
    </row>
    <row r="30" spans="2:8" ht="15.75" customHeight="1">
      <c r="B30" s="5" t="s">
        <v>111</v>
      </c>
    </row>
    <row r="31" spans="2:8" ht="15" customHeight="1">
      <c r="B31" s="11" t="s">
        <v>99</v>
      </c>
      <c r="C31" s="11" t="s">
        <v>112</v>
      </c>
      <c r="D31" s="11" t="s">
        <v>101</v>
      </c>
    </row>
    <row r="32" spans="2:8" ht="15" customHeight="1">
      <c r="B32" t="s">
        <v>113</v>
      </c>
      <c r="C32" s="33">
        <f>IFERROR((SUMPRODUCT(ISNUMBER('Egypt (worked)'!$L$8:$L$109)*('Egypt (worked)'!$M$8:$M$109="High"))*Conf_High+SUMPRODUCT(ISNUMBER('Egypt (worked)'!$L$8:$L$109)*('Egypt (worked)'!$M$8:$M$109="Medium"))*Conf_Medium+SUMPRODUCT(ISNUMBER('Egypt (worked)'!$L$8:$L$109)*('Egypt (worked)'!$M$8:$M$109="Low"))*Conf_Low)/SUMPRODUCT(ISNUMBER('Egypt (worked)'!$L$8:$L$109)*1),0)</f>
        <v>0.57173913043478264</v>
      </c>
      <c r="D32" t="s">
        <v>114</v>
      </c>
    </row>
    <row r="33" spans="2:4" ht="15" customHeight="1">
      <c r="B33" t="s">
        <v>115</v>
      </c>
      <c r="C33">
        <f>COUNTIF('Egypt (worked)'!$O$8:$O$109,"STALE")</f>
        <v>16</v>
      </c>
      <c r="D33" t="s">
        <v>116</v>
      </c>
    </row>
    <row r="34" spans="2:4" ht="15" customHeight="1">
      <c r="B34" t="s">
        <v>117</v>
      </c>
      <c r="C34">
        <f>SUMPRODUCT((NOT(ISNUMBER('Egypt (worked)'!$L$8:$L$109)))*('Egypt (worked)'!$D$8:$D$109&lt;&gt;"C0"))</f>
        <v>2</v>
      </c>
      <c r="D34" t="s">
        <v>118</v>
      </c>
    </row>
    <row r="35" spans="2:4" ht="15" customHeight="1">
      <c r="B35" t="s">
        <v>119</v>
      </c>
      <c r="C35" s="34">
        <f>SUMPRODUCT(ISNUMBER('Egypt (worked)'!$L$8:$L$109)*('Egypt (worked)'!$D$8:$D$109&lt;&gt;"C0"))/SUMPRODUCT(1*('Egypt (worked)'!$D$8:$D$109&lt;&gt;"C0"))</f>
        <v>0.97872340425531912</v>
      </c>
      <c r="D35" t="s">
        <v>120</v>
      </c>
    </row>
    <row r="36" spans="2:4" ht="15.75" customHeight="1">
      <c r="B36" s="5" t="s">
        <v>121</v>
      </c>
    </row>
    <row r="37" spans="2:4" ht="15" customHeight="1">
      <c r="B37" t="s">
        <v>122</v>
      </c>
      <c r="C37" s="33">
        <f>IF(AND(ISNUMBER(H8),ISNUMBER(E19)),H8-E19,"—")</f>
        <v>0.91818181818181888</v>
      </c>
      <c r="D37" t="str">
        <f>IF(NOT(ISNUMBER(C37)),"",IF(ABS(C37)&gt;=Leapfrog_Gap,"⚑ FRAGILE PROGRESS — check sequencing","OK"))</f>
        <v>OK</v>
      </c>
    </row>
  </sheetData>
  <mergeCells count="2">
    <mergeCell ref="C28:H28"/>
    <mergeCell ref="C29:H2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109"/>
  <sheetViews>
    <sheetView tabSelected="1" zoomScaleNormal="100" workbookViewId="0">
      <pane xSplit="2" ySplit="7" topLeftCell="C70" activePane="bottomRight" state="frozen"/>
      <selection pane="topRight" activeCell="C1" sqref="C1"/>
      <selection pane="bottomLeft" activeCell="A8" sqref="A8"/>
      <selection pane="bottomRight"/>
    </sheetView>
  </sheetViews>
  <sheetFormatPr baseColWidth="10" defaultColWidth="8.6640625" defaultRowHeight="15"/>
  <cols>
    <col min="1" max="1" width="3" customWidth="1"/>
    <col min="2" max="2" width="7" customWidth="1"/>
    <col min="3" max="3" width="46" customWidth="1"/>
    <col min="4" max="4" width="7" customWidth="1"/>
    <col min="5" max="5" width="22" customWidth="1"/>
    <col min="6" max="8" width="8" customWidth="1"/>
    <col min="9" max="9" width="14" customWidth="1"/>
    <col min="10" max="12" width="10" customWidth="1"/>
    <col min="13" max="13" width="13" customWidth="1"/>
    <col min="14" max="15" width="8" customWidth="1"/>
    <col min="16" max="16" width="32" customWidth="1"/>
    <col min="17" max="17" width="30" customWidth="1"/>
    <col min="18" max="18" width="40" customWidth="1"/>
  </cols>
  <sheetData>
    <row r="1" spans="2:18" ht="7.5" customHeight="1"/>
    <row r="2" spans="2:18" ht="27.75" customHeight="1">
      <c r="B2" s="3" t="s">
        <v>123</v>
      </c>
    </row>
    <row r="3" spans="2:18" ht="18" customHeight="1">
      <c r="B3" s="4" t="s">
        <v>124</v>
      </c>
    </row>
    <row r="5" spans="2:18" ht="15" customHeight="1">
      <c r="B5" s="9" t="s">
        <v>125</v>
      </c>
      <c r="C5" t="s">
        <v>126</v>
      </c>
      <c r="E5" s="9" t="s">
        <v>127</v>
      </c>
      <c r="F5" t="s">
        <v>128</v>
      </c>
      <c r="H5" s="9" t="s">
        <v>129</v>
      </c>
      <c r="I5" t="s">
        <v>130</v>
      </c>
      <c r="K5" s="9" t="s">
        <v>131</v>
      </c>
      <c r="L5">
        <v>2025</v>
      </c>
    </row>
    <row r="7" spans="2:18" ht="36" customHeight="1">
      <c r="B7" s="11" t="s">
        <v>132</v>
      </c>
      <c r="C7" s="11" t="s">
        <v>133</v>
      </c>
      <c r="D7" s="11" t="s">
        <v>58</v>
      </c>
      <c r="E7" s="11" t="s">
        <v>134</v>
      </c>
      <c r="F7" s="11" t="s">
        <v>135</v>
      </c>
      <c r="G7" s="11" t="s">
        <v>136</v>
      </c>
      <c r="H7" s="11" t="s">
        <v>137</v>
      </c>
      <c r="I7" s="11" t="s">
        <v>112</v>
      </c>
      <c r="J7" s="11" t="s">
        <v>138</v>
      </c>
      <c r="K7" s="11" t="s">
        <v>139</v>
      </c>
      <c r="L7" s="11" t="s">
        <v>140</v>
      </c>
      <c r="M7" s="11" t="s">
        <v>141</v>
      </c>
      <c r="N7" s="11" t="s">
        <v>142</v>
      </c>
      <c r="O7" s="11" t="s">
        <v>143</v>
      </c>
      <c r="P7" s="11" t="s">
        <v>144</v>
      </c>
      <c r="Q7" s="11" t="s">
        <v>145</v>
      </c>
      <c r="R7" s="11" t="s">
        <v>146</v>
      </c>
    </row>
    <row r="8" spans="2:18" ht="27.75" customHeight="1">
      <c r="B8" s="35" t="s">
        <v>147</v>
      </c>
      <c r="C8" s="36" t="s">
        <v>148</v>
      </c>
      <c r="D8" s="35" t="s">
        <v>67</v>
      </c>
      <c r="E8" s="35" t="s">
        <v>149</v>
      </c>
      <c r="F8" s="35" t="s">
        <v>150</v>
      </c>
      <c r="G8" s="35"/>
      <c r="H8" s="35">
        <v>3</v>
      </c>
      <c r="I8" s="35">
        <v>8390.6</v>
      </c>
      <c r="J8" s="37" t="str">
        <f>IF(I8="","",IF(Indicators!$H$6&lt;&gt;"Quantitative threshold","",IF(Indicators!$I$6="Higher",IF(N(I8)&gt;=Indicators!$O$6,5,IF(N(I8)&gt;=Indicators!$N$6,4,IF(N(I8)&gt;=Indicators!$M$6,3,IF(N(I8)&gt;=Indicators!$L$6,2,1)))),IF(N(I8)&lt;=Indicators!$O$6,5,IF(N(I8)&lt;=Indicators!$N$6,4,IF(N(I8)&lt;=Indicators!$M$6,3,IF(N(I8)&lt;=Indicators!$L$6,2,1)))))))</f>
        <v/>
      </c>
      <c r="K8" s="35"/>
      <c r="L8" s="37" t="str">
        <f>IF(Indicators!$D$6="C0","",IF(K8&lt;&gt;"",K8,IF(J8&lt;&gt;"",J8,"")))</f>
        <v/>
      </c>
      <c r="M8" s="35" t="s">
        <v>151</v>
      </c>
      <c r="N8" s="35">
        <v>2023</v>
      </c>
      <c r="O8" s="37" t="str">
        <f t="shared" ref="O8:O39" si="0">IF(N8="","",IF(N8&lt;($L$5-H8),"STALE",""))</f>
        <v/>
      </c>
      <c r="P8" s="35" t="s">
        <v>152</v>
      </c>
      <c r="Q8" s="38" t="s">
        <v>153</v>
      </c>
      <c r="R8" s="35" t="s">
        <v>154</v>
      </c>
    </row>
    <row r="9" spans="2:18" ht="15" customHeight="1">
      <c r="B9" s="35" t="s">
        <v>155</v>
      </c>
      <c r="C9" s="36" t="s">
        <v>156</v>
      </c>
      <c r="D9" s="35" t="s">
        <v>67</v>
      </c>
      <c r="E9" s="35" t="s">
        <v>149</v>
      </c>
      <c r="F9" s="35" t="s">
        <v>150</v>
      </c>
      <c r="G9" s="35"/>
      <c r="H9" s="35">
        <v>3</v>
      </c>
      <c r="I9" s="35">
        <v>7402.2</v>
      </c>
      <c r="J9" s="37" t="str">
        <f>IF(I9="","",IF(Indicators!$H$7&lt;&gt;"Quantitative threshold","",IF(Indicators!$I$7="Higher",IF(N(I9)&gt;=Indicators!$O$7,5,IF(N(I9)&gt;=Indicators!$N$7,4,IF(N(I9)&gt;=Indicators!$M$7,3,IF(N(I9)&gt;=Indicators!$L$7,2,1)))),IF(N(I9)&lt;=Indicators!$O$7,5,IF(N(I9)&lt;=Indicators!$N$7,4,IF(N(I9)&lt;=Indicators!$M$7,3,IF(N(I9)&lt;=Indicators!$L$7,2,1)))))))</f>
        <v/>
      </c>
      <c r="K9" s="35"/>
      <c r="L9" s="37" t="str">
        <f>IF(Indicators!$D$7="C0","",IF(K9&lt;&gt;"",K9,IF(J9&lt;&gt;"",J9,"")))</f>
        <v/>
      </c>
      <c r="M9" s="35" t="s">
        <v>151</v>
      </c>
      <c r="N9" s="35">
        <v>2023</v>
      </c>
      <c r="O9" s="37" t="str">
        <f t="shared" si="0"/>
        <v/>
      </c>
      <c r="P9" s="35" t="s">
        <v>157</v>
      </c>
      <c r="Q9" s="38" t="s">
        <v>158</v>
      </c>
      <c r="R9" s="35" t="s">
        <v>159</v>
      </c>
    </row>
    <row r="10" spans="2:18" ht="15" customHeight="1">
      <c r="B10" s="35" t="s">
        <v>160</v>
      </c>
      <c r="C10" s="36" t="s">
        <v>161</v>
      </c>
      <c r="D10" s="35" t="s">
        <v>67</v>
      </c>
      <c r="E10" s="35" t="s">
        <v>149</v>
      </c>
      <c r="F10" s="35" t="s">
        <v>150</v>
      </c>
      <c r="G10" s="35"/>
      <c r="H10" s="35">
        <v>3</v>
      </c>
      <c r="I10" s="35">
        <v>17.52</v>
      </c>
      <c r="J10" s="37" t="str">
        <f>IF(I10="","",IF(Indicators!$H$8&lt;&gt;"Quantitative threshold","",IF(Indicators!$I$8="Higher",IF(N(I10)&gt;=Indicators!$O$8,5,IF(N(I10)&gt;=Indicators!$N$8,4,IF(N(I10)&gt;=Indicators!$M$8,3,IF(N(I10)&gt;=Indicators!$L$8,2,1)))),IF(N(I10)&lt;=Indicators!$O$8,5,IF(N(I10)&lt;=Indicators!$N$8,4,IF(N(I10)&lt;=Indicators!$M$8,3,IF(N(I10)&lt;=Indicators!$L$8,2,1)))))))</f>
        <v/>
      </c>
      <c r="K10" s="35"/>
      <c r="L10" s="37" t="str">
        <f>IF(Indicators!$D$8="C0","",IF(K10&lt;&gt;"",K10,IF(J10&lt;&gt;"",J10,"")))</f>
        <v/>
      </c>
      <c r="M10" s="35" t="s">
        <v>162</v>
      </c>
      <c r="N10" s="35">
        <v>2023</v>
      </c>
      <c r="O10" s="37" t="str">
        <f t="shared" si="0"/>
        <v/>
      </c>
      <c r="P10" s="35" t="s">
        <v>163</v>
      </c>
      <c r="Q10" s="38" t="s">
        <v>164</v>
      </c>
      <c r="R10" s="35" t="s">
        <v>165</v>
      </c>
    </row>
    <row r="11" spans="2:18" ht="15" customHeight="1">
      <c r="B11" s="35" t="s">
        <v>166</v>
      </c>
      <c r="C11" s="36" t="s">
        <v>167</v>
      </c>
      <c r="D11" s="35" t="s">
        <v>67</v>
      </c>
      <c r="E11" s="35" t="s">
        <v>149</v>
      </c>
      <c r="F11" s="35" t="s">
        <v>150</v>
      </c>
      <c r="G11" s="35"/>
      <c r="H11" s="35">
        <v>3</v>
      </c>
      <c r="I11" s="35">
        <v>109.07</v>
      </c>
      <c r="J11" s="37" t="str">
        <f>IF(I11="","",IF(Indicators!$H$9&lt;&gt;"Quantitative threshold","",IF(Indicators!$I$9="Higher",IF(N(I11)&gt;=Indicators!$O$9,5,IF(N(I11)&gt;=Indicators!$N$9,4,IF(N(I11)&gt;=Indicators!$M$9,3,IF(N(I11)&gt;=Indicators!$L$9,2,1)))),IF(N(I11)&lt;=Indicators!$O$9,5,IF(N(I11)&lt;=Indicators!$N$9,4,IF(N(I11)&lt;=Indicators!$M$9,3,IF(N(I11)&lt;=Indicators!$L$9,2,1)))))))</f>
        <v/>
      </c>
      <c r="K11" s="35"/>
      <c r="L11" s="37" t="str">
        <f>IF(Indicators!$D$9="C0","",IF(K11&lt;&gt;"",K11,IF(J11&lt;&gt;"",J11,"")))</f>
        <v/>
      </c>
      <c r="M11" s="35" t="s">
        <v>151</v>
      </c>
      <c r="N11" s="35">
        <v>2022</v>
      </c>
      <c r="O11" s="37" t="str">
        <f t="shared" si="0"/>
        <v/>
      </c>
      <c r="P11" s="35" t="s">
        <v>168</v>
      </c>
      <c r="Q11" s="38" t="s">
        <v>169</v>
      </c>
      <c r="R11" s="35" t="s">
        <v>170</v>
      </c>
    </row>
    <row r="12" spans="2:18" ht="15" customHeight="1">
      <c r="B12" s="35" t="s">
        <v>171</v>
      </c>
      <c r="C12" s="36" t="s">
        <v>172</v>
      </c>
      <c r="D12" s="35" t="s">
        <v>67</v>
      </c>
      <c r="E12" s="35" t="s">
        <v>149</v>
      </c>
      <c r="F12" s="35" t="s">
        <v>150</v>
      </c>
      <c r="G12" s="35"/>
      <c r="H12" s="35">
        <v>2</v>
      </c>
      <c r="I12" s="35" t="s">
        <v>173</v>
      </c>
      <c r="J12" s="37" t="str">
        <f>IF(I12="","",IF(Indicators!$H$10&lt;&gt;"Quantitative threshold","",IF(Indicators!$I$10="Higher",IF(N(I12)&gt;=Indicators!$O$10,5,IF(N(I12)&gt;=Indicators!$N$10,4,IF(N(I12)&gt;=Indicators!$M$10,3,IF(N(I12)&gt;=Indicators!$L$10,2,1)))),IF(N(I12)&lt;=Indicators!$O$10,5,IF(N(I12)&lt;=Indicators!$N$10,4,IF(N(I12)&lt;=Indicators!$M$10,3,IF(N(I12)&lt;=Indicators!$L$10,2,1)))))))</f>
        <v/>
      </c>
      <c r="K12" s="35"/>
      <c r="L12" s="37" t="str">
        <f>IF(Indicators!$D$10="C0","",IF(K12&lt;&gt;"",K12,IF(J12&lt;&gt;"",J12,"")))</f>
        <v/>
      </c>
      <c r="M12" s="35" t="s">
        <v>162</v>
      </c>
      <c r="N12" s="35">
        <v>2020</v>
      </c>
      <c r="O12" s="37" t="str">
        <f t="shared" si="0"/>
        <v>STALE</v>
      </c>
      <c r="P12" s="35" t="s">
        <v>174</v>
      </c>
      <c r="Q12" s="38" t="s">
        <v>175</v>
      </c>
      <c r="R12" s="35" t="s">
        <v>176</v>
      </c>
    </row>
    <row r="13" spans="2:18" ht="15" customHeight="1">
      <c r="B13" s="35" t="s">
        <v>177</v>
      </c>
      <c r="C13" s="36" t="s">
        <v>178</v>
      </c>
      <c r="D13" s="35" t="s">
        <v>67</v>
      </c>
      <c r="E13" s="35" t="s">
        <v>149</v>
      </c>
      <c r="F13" s="35" t="s">
        <v>150</v>
      </c>
      <c r="G13" s="35"/>
      <c r="H13" s="35">
        <v>2</v>
      </c>
      <c r="I13" s="35" t="s">
        <v>179</v>
      </c>
      <c r="J13" s="37" t="str">
        <f>IF(I13="","",IF(Indicators!$H$11&lt;&gt;"Quantitative threshold","",IF(Indicators!$I$11="Higher",IF(N(I13)&gt;=Indicators!$O$11,5,IF(N(I13)&gt;=Indicators!$N$11,4,IF(N(I13)&gt;=Indicators!$M$11,3,IF(N(I13)&gt;=Indicators!$L$11,2,1)))),IF(N(I13)&lt;=Indicators!$O$11,5,IF(N(I13)&lt;=Indicators!$N$11,4,IF(N(I13)&lt;=Indicators!$M$11,3,IF(N(I13)&lt;=Indicators!$L$11,2,1)))))))</f>
        <v/>
      </c>
      <c r="K13" s="35"/>
      <c r="L13" s="37" t="str">
        <f>IF(Indicators!$D$11="C0","",IF(K13&lt;&gt;"",K13,IF(J13&lt;&gt;"",J13,"")))</f>
        <v/>
      </c>
      <c r="M13" s="35" t="s">
        <v>162</v>
      </c>
      <c r="N13" s="35">
        <v>2025</v>
      </c>
      <c r="O13" s="37" t="str">
        <f t="shared" si="0"/>
        <v/>
      </c>
      <c r="P13" s="35" t="s">
        <v>180</v>
      </c>
      <c r="Q13" s="38" t="s">
        <v>181</v>
      </c>
      <c r="R13" s="35" t="s">
        <v>182</v>
      </c>
    </row>
    <row r="14" spans="2:18" ht="15" customHeight="1">
      <c r="B14" s="35" t="s">
        <v>183</v>
      </c>
      <c r="C14" s="36" t="s">
        <v>184</v>
      </c>
      <c r="D14" s="35" t="s">
        <v>67</v>
      </c>
      <c r="E14" s="35" t="s">
        <v>149</v>
      </c>
      <c r="F14" s="35" t="s">
        <v>150</v>
      </c>
      <c r="G14" s="35"/>
      <c r="H14" s="35">
        <v>2</v>
      </c>
      <c r="I14" s="35" t="s">
        <v>185</v>
      </c>
      <c r="J14" s="37" t="str">
        <f>IF(I14="","",IF(Indicators!$H$12&lt;&gt;"Quantitative threshold","",IF(Indicators!$I$12="Higher",IF(N(I14)&gt;=Indicators!$O$12,5,IF(N(I14)&gt;=Indicators!$N$12,4,IF(N(I14)&gt;=Indicators!$M$12,3,IF(N(I14)&gt;=Indicators!$L$12,2,1)))),IF(N(I14)&lt;=Indicators!$O$12,5,IF(N(I14)&lt;=Indicators!$N$12,4,IF(N(I14)&lt;=Indicators!$M$12,3,IF(N(I14)&lt;=Indicators!$L$12,2,1)))))))</f>
        <v/>
      </c>
      <c r="K14" s="35"/>
      <c r="L14" s="37" t="str">
        <f>IF(Indicators!$D$12="C0","",IF(K14&lt;&gt;"",K14,IF(J14&lt;&gt;"",J14,"")))</f>
        <v/>
      </c>
      <c r="M14" s="35" t="s">
        <v>162</v>
      </c>
      <c r="N14" s="35">
        <v>2021</v>
      </c>
      <c r="O14" s="37" t="str">
        <f t="shared" si="0"/>
        <v>STALE</v>
      </c>
      <c r="P14" s="35" t="s">
        <v>186</v>
      </c>
      <c r="Q14" s="38" t="s">
        <v>187</v>
      </c>
      <c r="R14" s="35" t="s">
        <v>188</v>
      </c>
    </row>
    <row r="15" spans="2:18" ht="27.75" customHeight="1">
      <c r="B15" s="35" t="s">
        <v>189</v>
      </c>
      <c r="C15" s="36" t="s">
        <v>190</v>
      </c>
      <c r="D15" s="35" t="s">
        <v>67</v>
      </c>
      <c r="E15" s="35" t="s">
        <v>149</v>
      </c>
      <c r="F15" s="35" t="s">
        <v>150</v>
      </c>
      <c r="G15" s="35"/>
      <c r="H15" s="35">
        <v>2</v>
      </c>
      <c r="I15" s="35"/>
      <c r="J15" s="37" t="str">
        <f>IF(I15="","",IF(Indicators!$H$13&lt;&gt;"Quantitative threshold","",IF(Indicators!$I$13="Higher",IF(N(I15)&gt;=Indicators!$O$13,5,IF(N(I15)&gt;=Indicators!$N$13,4,IF(N(I15)&gt;=Indicators!$M$13,3,IF(N(I15)&gt;=Indicators!$L$13,2,1)))),IF(N(I15)&lt;=Indicators!$O$13,5,IF(N(I15)&lt;=Indicators!$N$13,4,IF(N(I15)&lt;=Indicators!$M$13,3,IF(N(I15)&lt;=Indicators!$L$13,2,1)))))))</f>
        <v/>
      </c>
      <c r="K15" s="35">
        <v>2</v>
      </c>
      <c r="L15" s="37" t="str">
        <f>IF(Indicators!$D$13="C0","",IF(K15&lt;&gt;"",K15,IF(J15&lt;&gt;"",J15,"")))</f>
        <v/>
      </c>
      <c r="M15" s="35" t="s">
        <v>191</v>
      </c>
      <c r="N15" s="35">
        <v>2020</v>
      </c>
      <c r="O15" s="37" t="str">
        <f t="shared" si="0"/>
        <v>STALE</v>
      </c>
      <c r="P15" s="35" t="s">
        <v>192</v>
      </c>
      <c r="Q15" s="38" t="s">
        <v>175</v>
      </c>
      <c r="R15" s="35" t="s">
        <v>193</v>
      </c>
    </row>
    <row r="16" spans="2:18" ht="27.75" customHeight="1">
      <c r="B16" s="35" t="s">
        <v>194</v>
      </c>
      <c r="C16" s="36" t="s">
        <v>195</v>
      </c>
      <c r="D16" s="35" t="s">
        <v>77</v>
      </c>
      <c r="E16" s="35" t="s">
        <v>196</v>
      </c>
      <c r="F16" s="35" t="s">
        <v>150</v>
      </c>
      <c r="G16" s="35"/>
      <c r="H16" s="35">
        <v>2</v>
      </c>
      <c r="I16" s="35"/>
      <c r="J16" s="37" t="str">
        <f>IF(I16="","",IF(Indicators!$H$14&lt;&gt;"Quantitative threshold","",IF(Indicators!$I$14="Higher",IF(N(I16)&gt;=Indicators!$O$14,5,IF(N(I16)&gt;=Indicators!$N$14,4,IF(N(I16)&gt;=Indicators!$M$14,3,IF(N(I16)&gt;=Indicators!$L$14,2,1)))),IF(N(I16)&lt;=Indicators!$O$14,5,IF(N(I16)&lt;=Indicators!$N$14,4,IF(N(I16)&lt;=Indicators!$M$14,3,IF(N(I16)&lt;=Indicators!$L$14,2,1)))))))</f>
        <v/>
      </c>
      <c r="K16" s="35">
        <v>4</v>
      </c>
      <c r="L16" s="37">
        <f>IF(Indicators!$D$14="C0","",IF(K16&lt;&gt;"",K16,IF(J16&lt;&gt;"",J16,"")))</f>
        <v>4</v>
      </c>
      <c r="M16" s="35" t="s">
        <v>162</v>
      </c>
      <c r="N16" s="35">
        <v>2025</v>
      </c>
      <c r="O16" s="37" t="str">
        <f t="shared" si="0"/>
        <v/>
      </c>
      <c r="P16" s="35" t="s">
        <v>197</v>
      </c>
      <c r="Q16" s="38" t="s">
        <v>198</v>
      </c>
      <c r="R16" s="35" t="s">
        <v>199</v>
      </c>
    </row>
    <row r="17" spans="2:18" ht="15" customHeight="1">
      <c r="B17" s="39" t="s">
        <v>200</v>
      </c>
      <c r="C17" s="36" t="s">
        <v>201</v>
      </c>
      <c r="D17" s="35" t="s">
        <v>70</v>
      </c>
      <c r="E17" s="35" t="s">
        <v>202</v>
      </c>
      <c r="F17" s="35" t="s">
        <v>203</v>
      </c>
      <c r="G17" s="39" t="s">
        <v>204</v>
      </c>
      <c r="H17" s="35">
        <v>3</v>
      </c>
      <c r="I17" s="35">
        <v>99.8</v>
      </c>
      <c r="J17" s="37">
        <f>IF(I17="","",IF(Indicators!$H$15&lt;&gt;"Quantitative threshold","",IF(Indicators!$I$15="Higher",IF(N(I17)&gt;=Indicators!$O$15,5,IF(N(I17)&gt;=Indicators!$N$15,4,IF(N(I17)&gt;=Indicators!$M$15,3,IF(N(I17)&gt;=Indicators!$L$15,2,1)))),IF(N(I17)&lt;=Indicators!$O$15,5,IF(N(I17)&lt;=Indicators!$N$15,4,IF(N(I17)&lt;=Indicators!$M$15,3,IF(N(I17)&lt;=Indicators!$L$15,2,1)))))))</f>
        <v>5</v>
      </c>
      <c r="K17" s="35"/>
      <c r="L17" s="37">
        <f>IF(Indicators!$D$15="C0","",IF(K17&lt;&gt;"",K17,IF(J17&lt;&gt;"",J17,"")))</f>
        <v>5</v>
      </c>
      <c r="M17" s="35" t="s">
        <v>151</v>
      </c>
      <c r="N17" s="35">
        <v>2024</v>
      </c>
      <c r="O17" s="37" t="str">
        <f t="shared" si="0"/>
        <v/>
      </c>
      <c r="P17" s="35" t="s">
        <v>205</v>
      </c>
      <c r="Q17" s="38" t="s">
        <v>206</v>
      </c>
      <c r="R17" s="35" t="s">
        <v>207</v>
      </c>
    </row>
    <row r="18" spans="2:18" ht="15" customHeight="1">
      <c r="B18" s="35" t="s">
        <v>208</v>
      </c>
      <c r="C18" s="36" t="s">
        <v>209</v>
      </c>
      <c r="D18" s="35" t="s">
        <v>70</v>
      </c>
      <c r="E18" s="35" t="s">
        <v>202</v>
      </c>
      <c r="F18" s="35" t="s">
        <v>203</v>
      </c>
      <c r="G18" s="35"/>
      <c r="H18" s="35">
        <v>3</v>
      </c>
      <c r="I18" s="35">
        <v>98</v>
      </c>
      <c r="J18" s="37">
        <f>IF(I18="","",IF(Indicators!$H$16&lt;&gt;"Quantitative threshold","",IF(Indicators!$I$16="Higher",IF(N(I18)&gt;=Indicators!$O$16,5,IF(N(I18)&gt;=Indicators!$N$16,4,IF(N(I18)&gt;=Indicators!$M$16,3,IF(N(I18)&gt;=Indicators!$L$16,2,1)))),IF(N(I18)&lt;=Indicators!$O$16,5,IF(N(I18)&lt;=Indicators!$N$16,4,IF(N(I18)&lt;=Indicators!$M$16,3,IF(N(I18)&lt;=Indicators!$L$16,2,1)))))))</f>
        <v>5</v>
      </c>
      <c r="K18" s="35"/>
      <c r="L18" s="37">
        <f>IF(Indicators!$D$16="C0","",IF(K18&lt;&gt;"",K18,IF(J18&lt;&gt;"",J18,"")))</f>
        <v>5</v>
      </c>
      <c r="M18" s="35" t="s">
        <v>151</v>
      </c>
      <c r="N18" s="35">
        <v>2024</v>
      </c>
      <c r="O18" s="37" t="str">
        <f t="shared" si="0"/>
        <v/>
      </c>
      <c r="P18" s="35" t="s">
        <v>205</v>
      </c>
      <c r="Q18" s="38" t="s">
        <v>206</v>
      </c>
      <c r="R18" s="35" t="s">
        <v>210</v>
      </c>
    </row>
    <row r="19" spans="2:18" ht="27.75" customHeight="1">
      <c r="B19" s="35" t="s">
        <v>211</v>
      </c>
      <c r="C19" s="36" t="s">
        <v>212</v>
      </c>
      <c r="D19" s="35" t="s">
        <v>70</v>
      </c>
      <c r="E19" s="35" t="s">
        <v>202</v>
      </c>
      <c r="F19" s="35" t="s">
        <v>203</v>
      </c>
      <c r="G19" s="35"/>
      <c r="H19" s="35">
        <v>3</v>
      </c>
      <c r="I19" s="35">
        <v>75</v>
      </c>
      <c r="J19" s="37">
        <f>IF(I19="","",IF(Indicators!$H$17&lt;&gt;"Quantitative threshold","",IF(Indicators!$I$17="Higher",IF(N(I19)&gt;=Indicators!$O$17,5,IF(N(I19)&gt;=Indicators!$N$17,4,IF(N(I19)&gt;=Indicators!$M$17,3,IF(N(I19)&gt;=Indicators!$L$17,2,1)))),IF(N(I19)&lt;=Indicators!$O$17,5,IF(N(I19)&lt;=Indicators!$N$17,4,IF(N(I19)&lt;=Indicators!$M$17,3,IF(N(I19)&lt;=Indicators!$L$17,2,1)))))))</f>
        <v>4</v>
      </c>
      <c r="K19" s="35"/>
      <c r="L19" s="37">
        <f>IF(Indicators!$D$17="C0","",IF(K19&lt;&gt;"",K19,IF(J19&lt;&gt;"",J19,"")))</f>
        <v>4</v>
      </c>
      <c r="M19" s="35" t="s">
        <v>151</v>
      </c>
      <c r="N19" s="35">
        <v>2024</v>
      </c>
      <c r="O19" s="37" t="str">
        <f t="shared" si="0"/>
        <v/>
      </c>
      <c r="P19" s="35" t="s">
        <v>205</v>
      </c>
      <c r="Q19" s="38" t="s">
        <v>206</v>
      </c>
      <c r="R19" s="35" t="s">
        <v>213</v>
      </c>
    </row>
    <row r="20" spans="2:18" ht="15" customHeight="1">
      <c r="B20" s="35" t="s">
        <v>214</v>
      </c>
      <c r="C20" s="36" t="s">
        <v>215</v>
      </c>
      <c r="D20" s="35" t="s">
        <v>70</v>
      </c>
      <c r="E20" s="35" t="s">
        <v>202</v>
      </c>
      <c r="F20" s="35" t="s">
        <v>203</v>
      </c>
      <c r="G20" s="35"/>
      <c r="H20" s="35">
        <v>3</v>
      </c>
      <c r="I20" s="35">
        <v>74.650000000000006</v>
      </c>
      <c r="J20" s="37">
        <f>IF(I20="","",IF(Indicators!$H$18&lt;&gt;"Quantitative threshold","",IF(Indicators!$I$18="Higher",IF(N(I20)&gt;=Indicators!$O$18,5,IF(N(I20)&gt;=Indicators!$N$18,4,IF(N(I20)&gt;=Indicators!$M$18,3,IF(N(I20)&gt;=Indicators!$L$18,2,1)))),IF(N(I20)&lt;=Indicators!$O$18,5,IF(N(I20)&lt;=Indicators!$N$18,4,IF(N(I20)&lt;=Indicators!$M$18,3,IF(N(I20)&lt;=Indicators!$L$18,2,1)))))))</f>
        <v>4</v>
      </c>
      <c r="K20" s="35"/>
      <c r="L20" s="37">
        <f>IF(Indicators!$D$18="C0","",IF(K20&lt;&gt;"",K20,IF(J20&lt;&gt;"",J20,"")))</f>
        <v>4</v>
      </c>
      <c r="M20" s="35" t="s">
        <v>151</v>
      </c>
      <c r="N20" s="35">
        <v>2024</v>
      </c>
      <c r="O20" s="37" t="str">
        <f t="shared" si="0"/>
        <v/>
      </c>
      <c r="P20" s="35" t="s">
        <v>216</v>
      </c>
      <c r="Q20" s="38" t="s">
        <v>217</v>
      </c>
      <c r="R20" s="35" t="s">
        <v>218</v>
      </c>
    </row>
    <row r="21" spans="2:18" ht="15" customHeight="1">
      <c r="B21" s="39" t="s">
        <v>219</v>
      </c>
      <c r="C21" s="36" t="s">
        <v>220</v>
      </c>
      <c r="D21" s="35" t="s">
        <v>70</v>
      </c>
      <c r="E21" s="35" t="s">
        <v>202</v>
      </c>
      <c r="F21" s="35" t="s">
        <v>221</v>
      </c>
      <c r="G21" s="39" t="s">
        <v>204</v>
      </c>
      <c r="H21" s="35">
        <v>3</v>
      </c>
      <c r="I21" s="35">
        <v>1.2</v>
      </c>
      <c r="J21" s="37">
        <f>IF(I21="","",IF(Indicators!$H$19&lt;&gt;"Quantitative threshold","",IF(Indicators!$I$19="Higher",IF(N(I21)&gt;=Indicators!$O$19,5,IF(N(I21)&gt;=Indicators!$N$19,4,IF(N(I21)&gt;=Indicators!$M$19,3,IF(N(I21)&gt;=Indicators!$L$19,2,1)))),IF(N(I21)&lt;=Indicators!$O$19,5,IF(N(I21)&lt;=Indicators!$N$19,4,IF(N(I21)&lt;=Indicators!$M$19,3,IF(N(I21)&lt;=Indicators!$L$19,2,1)))))))</f>
        <v>4</v>
      </c>
      <c r="K21" s="35"/>
      <c r="L21" s="37">
        <f>IF(Indicators!$D$19="C0","",IF(K21&lt;&gt;"",K21,IF(J21&lt;&gt;"",J21,"")))</f>
        <v>4</v>
      </c>
      <c r="M21" s="35" t="s">
        <v>151</v>
      </c>
      <c r="N21" s="35">
        <v>2024</v>
      </c>
      <c r="O21" s="37" t="str">
        <f t="shared" si="0"/>
        <v/>
      </c>
      <c r="P21" s="35" t="s">
        <v>222</v>
      </c>
      <c r="Q21" s="38" t="s">
        <v>223</v>
      </c>
      <c r="R21" s="35" t="s">
        <v>224</v>
      </c>
    </row>
    <row r="22" spans="2:18" ht="15" customHeight="1">
      <c r="B22" s="35" t="s">
        <v>225</v>
      </c>
      <c r="C22" s="36" t="s">
        <v>226</v>
      </c>
      <c r="D22" s="35" t="s">
        <v>70</v>
      </c>
      <c r="E22" s="35" t="s">
        <v>202</v>
      </c>
      <c r="F22" s="35" t="s">
        <v>203</v>
      </c>
      <c r="G22" s="35"/>
      <c r="H22" s="35">
        <v>3</v>
      </c>
      <c r="I22" s="35">
        <v>97.13</v>
      </c>
      <c r="J22" s="37">
        <f>IF(I22="","",IF(Indicators!$H$20&lt;&gt;"Quantitative threshold","",IF(Indicators!$I$20="Higher",IF(N(I22)&gt;=Indicators!$O$20,5,IF(N(I22)&gt;=Indicators!$N$20,4,IF(N(I22)&gt;=Indicators!$M$20,3,IF(N(I22)&gt;=Indicators!$L$20,2,1)))),IF(N(I22)&lt;=Indicators!$O$20,5,IF(N(I22)&lt;=Indicators!$N$20,4,IF(N(I22)&lt;=Indicators!$M$20,3,IF(N(I22)&lt;=Indicators!$L$20,2,1)))))))</f>
        <v>5</v>
      </c>
      <c r="K22" s="35"/>
      <c r="L22" s="37">
        <f>IF(Indicators!$D$20="C0","",IF(K22&lt;&gt;"",K22,IF(J22&lt;&gt;"",J22,"")))</f>
        <v>5</v>
      </c>
      <c r="M22" s="35" t="s">
        <v>162</v>
      </c>
      <c r="N22" s="35">
        <v>2024</v>
      </c>
      <c r="O22" s="37" t="str">
        <f t="shared" si="0"/>
        <v/>
      </c>
      <c r="P22" s="35" t="s">
        <v>227</v>
      </c>
      <c r="Q22" s="38" t="s">
        <v>228</v>
      </c>
      <c r="R22" s="35" t="s">
        <v>229</v>
      </c>
    </row>
    <row r="23" spans="2:18" ht="27.75" customHeight="1">
      <c r="B23" s="35" t="s">
        <v>230</v>
      </c>
      <c r="C23" s="36" t="s">
        <v>231</v>
      </c>
      <c r="D23" s="35" t="s">
        <v>70</v>
      </c>
      <c r="E23" s="35" t="s">
        <v>202</v>
      </c>
      <c r="F23" s="35" t="s">
        <v>203</v>
      </c>
      <c r="G23" s="35"/>
      <c r="H23" s="35">
        <v>2</v>
      </c>
      <c r="I23" s="35">
        <v>13.9</v>
      </c>
      <c r="J23" s="37">
        <f>IF(I23="","",IF(Indicators!$H$21&lt;&gt;"Quantitative threshold","",IF(Indicators!$I$21="Higher",IF(N(I23)&gt;=Indicators!$O$21,5,IF(N(I23)&gt;=Indicators!$N$21,4,IF(N(I23)&gt;=Indicators!$M$21,3,IF(N(I23)&gt;=Indicators!$L$21,2,1)))),IF(N(I23)&lt;=Indicators!$O$21,5,IF(N(I23)&lt;=Indicators!$N$21,4,IF(N(I23)&lt;=Indicators!$M$21,3,IF(N(I23)&lt;=Indicators!$L$21,2,1)))))))</f>
        <v>1</v>
      </c>
      <c r="K23" s="35"/>
      <c r="L23" s="37">
        <f>IF(Indicators!$D$21="C0","",IF(K23&lt;&gt;"",K23,IF(J23&lt;&gt;"",J23,"")))</f>
        <v>1</v>
      </c>
      <c r="M23" s="35" t="s">
        <v>191</v>
      </c>
      <c r="N23" s="35">
        <v>2015</v>
      </c>
      <c r="O23" s="37" t="str">
        <f t="shared" si="0"/>
        <v>STALE</v>
      </c>
      <c r="P23" s="35" t="s">
        <v>232</v>
      </c>
      <c r="Q23" s="38" t="s">
        <v>233</v>
      </c>
      <c r="R23" s="35" t="s">
        <v>234</v>
      </c>
    </row>
    <row r="24" spans="2:18" ht="15" customHeight="1">
      <c r="B24" s="35" t="s">
        <v>235</v>
      </c>
      <c r="C24" s="36" t="s">
        <v>236</v>
      </c>
      <c r="D24" s="35" t="s">
        <v>70</v>
      </c>
      <c r="E24" s="35" t="s">
        <v>202</v>
      </c>
      <c r="F24" s="35" t="s">
        <v>221</v>
      </c>
      <c r="G24" s="35"/>
      <c r="H24" s="35">
        <v>2</v>
      </c>
      <c r="I24" s="35"/>
      <c r="J24" s="37" t="str">
        <f>IF(I24="","",IF(Indicators!$H$22&lt;&gt;"Quantitative threshold","",IF(Indicators!$I$22="Higher",IF(N(I24)&gt;=Indicators!$O$22,5,IF(N(I24)&gt;=Indicators!$N$22,4,IF(N(I24)&gt;=Indicators!$M$22,3,IF(N(I24)&gt;=Indicators!$L$22,2,1)))),IF(N(I24)&lt;=Indicators!$O$22,5,IF(N(I24)&lt;=Indicators!$N$22,4,IF(N(I24)&lt;=Indicators!$M$22,3,IF(N(I24)&lt;=Indicators!$L$22,2,1)))))))</f>
        <v/>
      </c>
      <c r="K24" s="35">
        <v>3</v>
      </c>
      <c r="L24" s="37">
        <f>IF(Indicators!$D$22="C0","",IF(K24&lt;&gt;"",K24,IF(J24&lt;&gt;"",J24,"")))</f>
        <v>3</v>
      </c>
      <c r="M24" s="35" t="s">
        <v>191</v>
      </c>
      <c r="N24" s="35">
        <v>2024</v>
      </c>
      <c r="O24" s="37" t="str">
        <f t="shared" si="0"/>
        <v/>
      </c>
      <c r="P24" s="35" t="s">
        <v>237</v>
      </c>
      <c r="Q24" s="38" t="s">
        <v>223</v>
      </c>
      <c r="R24" s="35" t="s">
        <v>238</v>
      </c>
    </row>
    <row r="25" spans="2:18" ht="15" customHeight="1">
      <c r="B25" s="39" t="s">
        <v>239</v>
      </c>
      <c r="C25" s="36" t="s">
        <v>240</v>
      </c>
      <c r="D25" s="35" t="s">
        <v>70</v>
      </c>
      <c r="E25" s="35" t="s">
        <v>202</v>
      </c>
      <c r="F25" s="35" t="s">
        <v>203</v>
      </c>
      <c r="G25" s="39" t="s">
        <v>204</v>
      </c>
      <c r="H25" s="35">
        <v>2</v>
      </c>
      <c r="I25" s="35">
        <v>100</v>
      </c>
      <c r="J25" s="37">
        <f>IF(I25="","",IF(Indicators!$H$23&lt;&gt;"Quantitative threshold","",IF(Indicators!$I$23="Higher",IF(N(I25)&gt;=Indicators!$O$23,5,IF(N(I25)&gt;=Indicators!$N$23,4,IF(N(I25)&gt;=Indicators!$M$23,3,IF(N(I25)&gt;=Indicators!$L$23,2,1)))),IF(N(I25)&lt;=Indicators!$O$23,5,IF(N(I25)&lt;=Indicators!$N$23,4,IF(N(I25)&lt;=Indicators!$M$23,3,IF(N(I25)&lt;=Indicators!$L$23,2,1)))))))</f>
        <v>5</v>
      </c>
      <c r="K25" s="35"/>
      <c r="L25" s="37">
        <f>IF(Indicators!$D$23="C0","",IF(K25&lt;&gt;"",K25,IF(J25&lt;&gt;"",J25,"")))</f>
        <v>5</v>
      </c>
      <c r="M25" s="35" t="s">
        <v>151</v>
      </c>
      <c r="N25" s="35">
        <v>2024</v>
      </c>
      <c r="O25" s="37" t="str">
        <f t="shared" si="0"/>
        <v/>
      </c>
      <c r="P25" s="35" t="s">
        <v>241</v>
      </c>
      <c r="Q25" s="38" t="s">
        <v>242</v>
      </c>
      <c r="R25" s="35" t="s">
        <v>243</v>
      </c>
    </row>
    <row r="26" spans="2:18" ht="15" customHeight="1">
      <c r="B26" s="35" t="s">
        <v>244</v>
      </c>
      <c r="C26" s="36" t="s">
        <v>245</v>
      </c>
      <c r="D26" s="35" t="s">
        <v>70</v>
      </c>
      <c r="E26" s="35" t="s">
        <v>202</v>
      </c>
      <c r="F26" s="35" t="s">
        <v>203</v>
      </c>
      <c r="G26" s="35"/>
      <c r="H26" s="35">
        <v>2</v>
      </c>
      <c r="I26" s="35">
        <v>24.17</v>
      </c>
      <c r="J26" s="37">
        <f>IF(I26="","",IF(Indicators!$H$24&lt;&gt;"Quantitative threshold","",IF(Indicators!$I$24="Higher",IF(N(I26)&gt;=Indicators!$O$24,5,IF(N(I26)&gt;=Indicators!$N$24,4,IF(N(I26)&gt;=Indicators!$M$24,3,IF(N(I26)&gt;=Indicators!$L$24,2,1)))),IF(N(I26)&lt;=Indicators!$O$24,5,IF(N(I26)&lt;=Indicators!$N$24,4,IF(N(I26)&lt;=Indicators!$M$24,3,IF(N(I26)&lt;=Indicators!$L$24,2,1)))))))</f>
        <v>4</v>
      </c>
      <c r="K26" s="35"/>
      <c r="L26" s="37">
        <f>IF(Indicators!$D$24="C0","",IF(K26&lt;&gt;"",K26,IF(J26&lt;&gt;"",J26,"")))</f>
        <v>4</v>
      </c>
      <c r="M26" s="35" t="s">
        <v>191</v>
      </c>
      <c r="N26" s="35">
        <v>2025</v>
      </c>
      <c r="O26" s="37" t="str">
        <f t="shared" si="0"/>
        <v/>
      </c>
      <c r="P26" s="35" t="s">
        <v>246</v>
      </c>
      <c r="Q26" s="38" t="s">
        <v>247</v>
      </c>
      <c r="R26" s="35" t="s">
        <v>248</v>
      </c>
    </row>
    <row r="27" spans="2:18" ht="15" customHeight="1">
      <c r="B27" s="35" t="s">
        <v>249</v>
      </c>
      <c r="C27" s="36" t="s">
        <v>250</v>
      </c>
      <c r="D27" s="35" t="s">
        <v>70</v>
      </c>
      <c r="E27" s="35" t="s">
        <v>196</v>
      </c>
      <c r="F27" s="35" t="s">
        <v>150</v>
      </c>
      <c r="G27" s="35"/>
      <c r="H27" s="35">
        <v>2</v>
      </c>
      <c r="I27" s="35"/>
      <c r="J27" s="37" t="str">
        <f>IF(I27="","",IF(Indicators!$H$25&lt;&gt;"Quantitative threshold","",IF(Indicators!$I$25="Higher",IF(N(I27)&gt;=Indicators!$O$25,5,IF(N(I27)&gt;=Indicators!$N$25,4,IF(N(I27)&gt;=Indicators!$M$25,3,IF(N(I27)&gt;=Indicators!$L$25,2,1)))),IF(N(I27)&lt;=Indicators!$O$25,5,IF(N(I27)&lt;=Indicators!$N$25,4,IF(N(I27)&lt;=Indicators!$M$25,3,IF(N(I27)&lt;=Indicators!$L$25,2,1)))))))</f>
        <v/>
      </c>
      <c r="K27" s="35">
        <v>2</v>
      </c>
      <c r="L27" s="37">
        <f>IF(Indicators!$D$25="C0","",IF(K27&lt;&gt;"",K27,IF(J27&lt;&gt;"",J27,"")))</f>
        <v>2</v>
      </c>
      <c r="M27" s="35" t="s">
        <v>191</v>
      </c>
      <c r="N27" s="35">
        <v>2025</v>
      </c>
      <c r="O27" s="37" t="str">
        <f t="shared" si="0"/>
        <v/>
      </c>
      <c r="P27" s="35" t="s">
        <v>251</v>
      </c>
      <c r="Q27" s="35"/>
      <c r="R27" s="35" t="s">
        <v>252</v>
      </c>
    </row>
    <row r="28" spans="2:18" ht="15" customHeight="1">
      <c r="B28" s="35" t="s">
        <v>253</v>
      </c>
      <c r="C28" s="36" t="s">
        <v>254</v>
      </c>
      <c r="D28" s="35" t="s">
        <v>73</v>
      </c>
      <c r="E28" s="35" t="s">
        <v>202</v>
      </c>
      <c r="F28" s="35" t="s">
        <v>203</v>
      </c>
      <c r="G28" s="35"/>
      <c r="H28" s="35">
        <v>3</v>
      </c>
      <c r="I28" s="35">
        <v>0.66990000000000005</v>
      </c>
      <c r="J28" s="37">
        <f>IF(I28="","",IF(Indicators!$H$26&lt;&gt;"Quantitative threshold","",IF(Indicators!$I$26="Higher",IF(N(I28)&gt;=Indicators!$O$26,5,IF(N(I28)&gt;=Indicators!$N$26,4,IF(N(I28)&gt;=Indicators!$M$26,3,IF(N(I28)&gt;=Indicators!$L$26,2,1)))),IF(N(I28)&lt;=Indicators!$O$26,5,IF(N(I28)&lt;=Indicators!$N$26,4,IF(N(I28)&lt;=Indicators!$M$26,3,IF(N(I28)&lt;=Indicators!$L$26,2,1)))))))</f>
        <v>4</v>
      </c>
      <c r="K28" s="35"/>
      <c r="L28" s="37">
        <f>IF(Indicators!$D$26="C0","",IF(K28&lt;&gt;"",K28,IF(J28&lt;&gt;"",J28,"")))</f>
        <v>4</v>
      </c>
      <c r="M28" s="35" t="s">
        <v>151</v>
      </c>
      <c r="N28" s="35">
        <v>2024</v>
      </c>
      <c r="O28" s="37" t="str">
        <f t="shared" si="0"/>
        <v/>
      </c>
      <c r="P28" s="35" t="s">
        <v>255</v>
      </c>
      <c r="Q28" s="38" t="s">
        <v>256</v>
      </c>
      <c r="R28" s="35" t="s">
        <v>257</v>
      </c>
    </row>
    <row r="29" spans="2:18" ht="15" customHeight="1">
      <c r="B29" s="35" t="s">
        <v>258</v>
      </c>
      <c r="C29" s="36" t="s">
        <v>259</v>
      </c>
      <c r="D29" s="35" t="s">
        <v>73</v>
      </c>
      <c r="E29" s="35" t="s">
        <v>202</v>
      </c>
      <c r="F29" s="35" t="s">
        <v>203</v>
      </c>
      <c r="G29" s="35"/>
      <c r="H29" s="35">
        <v>3</v>
      </c>
      <c r="I29" s="35"/>
      <c r="J29" s="37" t="str">
        <f>IF(I29="","",IF(Indicators!$H$27&lt;&gt;"Quantitative threshold","",IF(Indicators!$I$27="Higher",IF(N(I29)&gt;=Indicators!$O$27,5,IF(N(I29)&gt;=Indicators!$N$27,4,IF(N(I29)&gt;=Indicators!$M$27,3,IF(N(I29)&gt;=Indicators!$L$27,2,1)))),IF(N(I29)&lt;=Indicators!$O$27,5,IF(N(I29)&lt;=Indicators!$N$27,4,IF(N(I29)&lt;=Indicators!$M$27,3,IF(N(I29)&lt;=Indicators!$L$27,2,1)))))))</f>
        <v/>
      </c>
      <c r="K29" s="35">
        <v>2</v>
      </c>
      <c r="L29" s="37">
        <f>IF(Indicators!$D$27="C0","",IF(K29&lt;&gt;"",K29,IF(J29&lt;&gt;"",J29,"")))</f>
        <v>2</v>
      </c>
      <c r="M29" s="35" t="s">
        <v>191</v>
      </c>
      <c r="N29" s="35">
        <v>2022</v>
      </c>
      <c r="O29" s="37" t="str">
        <f t="shared" si="0"/>
        <v/>
      </c>
      <c r="P29" s="35" t="s">
        <v>260</v>
      </c>
      <c r="Q29" s="38" t="s">
        <v>261</v>
      </c>
      <c r="R29" s="35" t="s">
        <v>262</v>
      </c>
    </row>
    <row r="30" spans="2:18" ht="15" customHeight="1">
      <c r="B30" s="39" t="s">
        <v>263</v>
      </c>
      <c r="C30" s="36" t="s">
        <v>264</v>
      </c>
      <c r="D30" s="35" t="s">
        <v>73</v>
      </c>
      <c r="E30" s="35" t="s">
        <v>196</v>
      </c>
      <c r="F30" s="35" t="s">
        <v>150</v>
      </c>
      <c r="G30" s="39" t="s">
        <v>204</v>
      </c>
      <c r="H30" s="35">
        <v>2</v>
      </c>
      <c r="I30" s="35"/>
      <c r="J30" s="37" t="str">
        <f>IF(I30="","",IF(Indicators!$H$28&lt;&gt;"Quantitative threshold","",IF(Indicators!$I$28="Higher",IF(N(I30)&gt;=Indicators!$O$28,5,IF(N(I30)&gt;=Indicators!$N$28,4,IF(N(I30)&gt;=Indicators!$M$28,3,IF(N(I30)&gt;=Indicators!$L$28,2,1)))),IF(N(I30)&lt;=Indicators!$O$28,5,IF(N(I30)&lt;=Indicators!$N$28,4,IF(N(I30)&lt;=Indicators!$M$28,3,IF(N(I30)&lt;=Indicators!$L$28,2,1)))))))</f>
        <v/>
      </c>
      <c r="K30" s="35">
        <v>4</v>
      </c>
      <c r="L30" s="37">
        <f>IF(Indicators!$D$28="C0","",IF(K30&lt;&gt;"",K30,IF(J30&lt;&gt;"",J30,"")))</f>
        <v>4</v>
      </c>
      <c r="M30" s="35" t="s">
        <v>162</v>
      </c>
      <c r="N30" s="35">
        <v>2025</v>
      </c>
      <c r="O30" s="37" t="str">
        <f t="shared" si="0"/>
        <v/>
      </c>
      <c r="P30" s="35" t="s">
        <v>265</v>
      </c>
      <c r="Q30" s="38" t="s">
        <v>266</v>
      </c>
      <c r="R30" s="35" t="s">
        <v>267</v>
      </c>
    </row>
    <row r="31" spans="2:18" ht="15" customHeight="1">
      <c r="B31" s="35" t="s">
        <v>268</v>
      </c>
      <c r="C31" s="36" t="s">
        <v>269</v>
      </c>
      <c r="D31" s="35" t="s">
        <v>73</v>
      </c>
      <c r="E31" s="35" t="s">
        <v>196</v>
      </c>
      <c r="F31" s="35" t="s">
        <v>150</v>
      </c>
      <c r="G31" s="35"/>
      <c r="H31" s="35">
        <v>2</v>
      </c>
      <c r="I31" s="35"/>
      <c r="J31" s="37" t="str">
        <f>IF(I31="","",IF(Indicators!$H$29&lt;&gt;"Quantitative threshold","",IF(Indicators!$I$29="Higher",IF(N(I31)&gt;=Indicators!$O$29,5,IF(N(I31)&gt;=Indicators!$N$29,4,IF(N(I31)&gt;=Indicators!$M$29,3,IF(N(I31)&gt;=Indicators!$L$29,2,1)))),IF(N(I31)&lt;=Indicators!$O$29,5,IF(N(I31)&lt;=Indicators!$N$29,4,IF(N(I31)&lt;=Indicators!$M$29,3,IF(N(I31)&lt;=Indicators!$L$29,2,1)))))))</f>
        <v/>
      </c>
      <c r="K31" s="35">
        <v>3</v>
      </c>
      <c r="L31" s="37">
        <f>IF(Indicators!$D$29="C0","",IF(K31&lt;&gt;"",K31,IF(J31&lt;&gt;"",J31,"")))</f>
        <v>3</v>
      </c>
      <c r="M31" s="35" t="s">
        <v>162</v>
      </c>
      <c r="N31" s="35">
        <v>2026</v>
      </c>
      <c r="O31" s="37" t="str">
        <f t="shared" si="0"/>
        <v/>
      </c>
      <c r="P31" s="35" t="s">
        <v>270</v>
      </c>
      <c r="Q31" s="38" t="s">
        <v>271</v>
      </c>
      <c r="R31" s="35" t="s">
        <v>272</v>
      </c>
    </row>
    <row r="32" spans="2:18" ht="15" customHeight="1">
      <c r="B32" s="35" t="s">
        <v>273</v>
      </c>
      <c r="C32" s="36" t="s">
        <v>274</v>
      </c>
      <c r="D32" s="35" t="s">
        <v>73</v>
      </c>
      <c r="E32" s="35" t="s">
        <v>196</v>
      </c>
      <c r="F32" s="35" t="s">
        <v>150</v>
      </c>
      <c r="G32" s="35"/>
      <c r="H32" s="35">
        <v>2</v>
      </c>
      <c r="I32" s="35"/>
      <c r="J32" s="37" t="str">
        <f>IF(I32="","",IF(Indicators!$H$30&lt;&gt;"Quantitative threshold","",IF(Indicators!$I$30="Higher",IF(N(I32)&gt;=Indicators!$O$30,5,IF(N(I32)&gt;=Indicators!$N$30,4,IF(N(I32)&gt;=Indicators!$M$30,3,IF(N(I32)&gt;=Indicators!$L$30,2,1)))),IF(N(I32)&lt;=Indicators!$O$30,5,IF(N(I32)&lt;=Indicators!$N$30,4,IF(N(I32)&lt;=Indicators!$M$30,3,IF(N(I32)&lt;=Indicators!$L$30,2,1)))))))</f>
        <v/>
      </c>
      <c r="K32" s="35">
        <v>2</v>
      </c>
      <c r="L32" s="37">
        <f>IF(Indicators!$D$30="C0","",IF(K32&lt;&gt;"",K32,IF(J32&lt;&gt;"",J32,"")))</f>
        <v>2</v>
      </c>
      <c r="M32" s="35" t="s">
        <v>191</v>
      </c>
      <c r="N32" s="35">
        <v>2025</v>
      </c>
      <c r="O32" s="37" t="str">
        <f t="shared" si="0"/>
        <v/>
      </c>
      <c r="P32" s="35" t="s">
        <v>275</v>
      </c>
      <c r="Q32" s="35"/>
      <c r="R32" s="35" t="s">
        <v>276</v>
      </c>
    </row>
    <row r="33" spans="2:18" ht="15" customHeight="1">
      <c r="B33" s="35" t="s">
        <v>277</v>
      </c>
      <c r="C33" s="36" t="s">
        <v>278</v>
      </c>
      <c r="D33" s="35" t="s">
        <v>73</v>
      </c>
      <c r="E33" s="35" t="s">
        <v>196</v>
      </c>
      <c r="F33" s="35" t="s">
        <v>150</v>
      </c>
      <c r="G33" s="35"/>
      <c r="H33" s="35">
        <v>2</v>
      </c>
      <c r="I33" s="35"/>
      <c r="J33" s="37" t="str">
        <f>IF(I33="","",IF(Indicators!$H$31&lt;&gt;"Quantitative threshold","",IF(Indicators!$I$31="Higher",IF(N(I33)&gt;=Indicators!$O$31,5,IF(N(I33)&gt;=Indicators!$N$31,4,IF(N(I33)&gt;=Indicators!$M$31,3,IF(N(I33)&gt;=Indicators!$L$31,2,1)))),IF(N(I33)&lt;=Indicators!$O$31,5,IF(N(I33)&lt;=Indicators!$N$31,4,IF(N(I33)&lt;=Indicators!$M$31,3,IF(N(I33)&lt;=Indicators!$L$31,2,1)))))))</f>
        <v/>
      </c>
      <c r="K33" s="35">
        <v>3</v>
      </c>
      <c r="L33" s="37">
        <f>IF(Indicators!$D$31="C0","",IF(K33&lt;&gt;"",K33,IF(J33&lt;&gt;"",J33,"")))</f>
        <v>3</v>
      </c>
      <c r="M33" s="35" t="s">
        <v>162</v>
      </c>
      <c r="N33" s="35">
        <v>2025</v>
      </c>
      <c r="O33" s="37" t="str">
        <f t="shared" si="0"/>
        <v/>
      </c>
      <c r="P33" s="35" t="s">
        <v>279</v>
      </c>
      <c r="Q33" s="38" t="s">
        <v>280</v>
      </c>
      <c r="R33" s="35" t="s">
        <v>281</v>
      </c>
    </row>
    <row r="34" spans="2:18" ht="27.75" customHeight="1">
      <c r="B34" s="35" t="s">
        <v>282</v>
      </c>
      <c r="C34" s="36" t="s">
        <v>283</v>
      </c>
      <c r="D34" s="35" t="s">
        <v>73</v>
      </c>
      <c r="E34" s="35" t="s">
        <v>196</v>
      </c>
      <c r="F34" s="35" t="s">
        <v>150</v>
      </c>
      <c r="G34" s="35"/>
      <c r="H34" s="35">
        <v>2</v>
      </c>
      <c r="I34" s="35"/>
      <c r="J34" s="37" t="str">
        <f>IF(I34="","",IF(Indicators!$H$32&lt;&gt;"Quantitative threshold","",IF(Indicators!$I$32="Higher",IF(N(I34)&gt;=Indicators!$O$32,5,IF(N(I34)&gt;=Indicators!$N$32,4,IF(N(I34)&gt;=Indicators!$M$32,3,IF(N(I34)&gt;=Indicators!$L$32,2,1)))),IF(N(I34)&lt;=Indicators!$O$32,5,IF(N(I34)&lt;=Indicators!$N$32,4,IF(N(I34)&lt;=Indicators!$M$32,3,IF(N(I34)&lt;=Indicators!$L$32,2,1)))))))</f>
        <v/>
      </c>
      <c r="K34" s="35">
        <v>4</v>
      </c>
      <c r="L34" s="37">
        <f>IF(Indicators!$D$32="C0","",IF(K34&lt;&gt;"",K34,IF(J34&lt;&gt;"",J34,"")))</f>
        <v>4</v>
      </c>
      <c r="M34" s="35" t="s">
        <v>162</v>
      </c>
      <c r="N34" s="35">
        <v>2025</v>
      </c>
      <c r="O34" s="37" t="str">
        <f t="shared" si="0"/>
        <v/>
      </c>
      <c r="P34" s="35" t="s">
        <v>284</v>
      </c>
      <c r="Q34" s="38" t="s">
        <v>198</v>
      </c>
      <c r="R34" s="35" t="s">
        <v>285</v>
      </c>
    </row>
    <row r="35" spans="2:18" ht="15" customHeight="1">
      <c r="B35" s="35" t="s">
        <v>286</v>
      </c>
      <c r="C35" s="36" t="s">
        <v>287</v>
      </c>
      <c r="D35" s="35" t="s">
        <v>73</v>
      </c>
      <c r="E35" s="35" t="s">
        <v>196</v>
      </c>
      <c r="F35" s="35" t="s">
        <v>150</v>
      </c>
      <c r="G35" s="35"/>
      <c r="H35" s="35">
        <v>2</v>
      </c>
      <c r="I35" s="35"/>
      <c r="J35" s="37" t="str">
        <f>IF(I35="","",IF(Indicators!$H$33&lt;&gt;"Quantitative threshold","",IF(Indicators!$I$33="Higher",IF(N(I35)&gt;=Indicators!$O$33,5,IF(N(I35)&gt;=Indicators!$N$33,4,IF(N(I35)&gt;=Indicators!$M$33,3,IF(N(I35)&gt;=Indicators!$L$33,2,1)))),IF(N(I35)&lt;=Indicators!$O$33,5,IF(N(I35)&lt;=Indicators!$N$33,4,IF(N(I35)&lt;=Indicators!$M$33,3,IF(N(I35)&lt;=Indicators!$L$33,2,1)))))))</f>
        <v/>
      </c>
      <c r="K35" s="35">
        <v>2</v>
      </c>
      <c r="L35" s="37">
        <f>IF(Indicators!$D$33="C0","",IF(K35&lt;&gt;"",K35,IF(J35&lt;&gt;"",J35,"")))</f>
        <v>2</v>
      </c>
      <c r="M35" s="35" t="s">
        <v>191</v>
      </c>
      <c r="N35" s="35">
        <v>2025</v>
      </c>
      <c r="O35" s="37" t="str">
        <f t="shared" si="0"/>
        <v/>
      </c>
      <c r="P35" s="35" t="s">
        <v>275</v>
      </c>
      <c r="Q35" s="35"/>
      <c r="R35" s="35" t="s">
        <v>288</v>
      </c>
    </row>
    <row r="36" spans="2:18" ht="15" customHeight="1">
      <c r="B36" s="35" t="s">
        <v>289</v>
      </c>
      <c r="C36" s="36" t="s">
        <v>290</v>
      </c>
      <c r="D36" s="35" t="s">
        <v>73</v>
      </c>
      <c r="E36" s="35" t="s">
        <v>202</v>
      </c>
      <c r="F36" s="35" t="s">
        <v>203</v>
      </c>
      <c r="G36" s="35"/>
      <c r="H36" s="35">
        <v>2</v>
      </c>
      <c r="I36" s="35" t="s">
        <v>291</v>
      </c>
      <c r="J36" s="37">
        <f>IF(I36="","",IF(Indicators!$H$34&lt;&gt;"Quantitative threshold","",IF(Indicators!$I$34="Higher",IF(N(I36)&gt;=Indicators!$O$34,5,IF(N(I36)&gt;=Indicators!$N$34,4,IF(N(I36)&gt;=Indicators!$M$34,3,IF(N(I36)&gt;=Indicators!$L$34,2,1)))),IF(N(I36)&lt;=Indicators!$O$34,5,IF(N(I36)&lt;=Indicators!$N$34,4,IF(N(I36)&lt;=Indicators!$M$34,3,IF(N(I36)&lt;=Indicators!$L$34,2,1)))))))</f>
        <v>1</v>
      </c>
      <c r="K36" s="35">
        <v>4</v>
      </c>
      <c r="L36" s="37">
        <f>IF(Indicators!$D$34="C0","",IF(K36&lt;&gt;"",K36,IF(J36&lt;&gt;"",J36,"")))</f>
        <v>4</v>
      </c>
      <c r="M36" s="35" t="s">
        <v>162</v>
      </c>
      <c r="N36" s="35">
        <v>2025</v>
      </c>
      <c r="O36" s="37" t="str">
        <f t="shared" si="0"/>
        <v/>
      </c>
      <c r="P36" s="35" t="s">
        <v>292</v>
      </c>
      <c r="Q36" s="38" t="s">
        <v>293</v>
      </c>
      <c r="R36" s="35" t="s">
        <v>294</v>
      </c>
    </row>
    <row r="37" spans="2:18" ht="27.75" customHeight="1">
      <c r="B37" s="35" t="s">
        <v>295</v>
      </c>
      <c r="C37" s="36" t="s">
        <v>296</v>
      </c>
      <c r="D37" s="35" t="s">
        <v>73</v>
      </c>
      <c r="E37" s="35" t="s">
        <v>196</v>
      </c>
      <c r="F37" s="35" t="s">
        <v>150</v>
      </c>
      <c r="G37" s="35"/>
      <c r="H37" s="35">
        <v>2</v>
      </c>
      <c r="I37" s="35"/>
      <c r="J37" s="37" t="str">
        <f>IF(I37="","",IF(Indicators!$H$35&lt;&gt;"Quantitative threshold","",IF(Indicators!$I$35="Higher",IF(N(I37)&gt;=Indicators!$O$35,5,IF(N(I37)&gt;=Indicators!$N$35,4,IF(N(I37)&gt;=Indicators!$M$35,3,IF(N(I37)&gt;=Indicators!$L$35,2,1)))),IF(N(I37)&lt;=Indicators!$O$35,5,IF(N(I37)&lt;=Indicators!$N$35,4,IF(N(I37)&lt;=Indicators!$M$35,3,IF(N(I37)&lt;=Indicators!$L$35,2,1)))))))</f>
        <v/>
      </c>
      <c r="K37" s="35">
        <v>3</v>
      </c>
      <c r="L37" s="37">
        <f>IF(Indicators!$D$35="C0","",IF(K37&lt;&gt;"",K37,IF(J37&lt;&gt;"",J37,"")))</f>
        <v>3</v>
      </c>
      <c r="M37" s="35" t="s">
        <v>162</v>
      </c>
      <c r="N37" s="35">
        <v>2025</v>
      </c>
      <c r="O37" s="37" t="str">
        <f t="shared" si="0"/>
        <v/>
      </c>
      <c r="P37" s="35" t="s">
        <v>297</v>
      </c>
      <c r="Q37" s="38" t="s">
        <v>298</v>
      </c>
      <c r="R37" s="35" t="s">
        <v>299</v>
      </c>
    </row>
    <row r="38" spans="2:18" ht="15" customHeight="1">
      <c r="B38" s="39" t="s">
        <v>300</v>
      </c>
      <c r="C38" s="36" t="s">
        <v>301</v>
      </c>
      <c r="D38" s="35" t="s">
        <v>73</v>
      </c>
      <c r="E38" s="35" t="s">
        <v>196</v>
      </c>
      <c r="F38" s="35" t="s">
        <v>150</v>
      </c>
      <c r="G38" s="39" t="s">
        <v>204</v>
      </c>
      <c r="H38" s="35">
        <v>2</v>
      </c>
      <c r="I38" s="35"/>
      <c r="J38" s="37" t="str">
        <f>IF(I38="","",IF(Indicators!$H$36&lt;&gt;"Quantitative threshold","",IF(Indicators!$I$36="Higher",IF(N(I38)&gt;=Indicators!$O$36,5,IF(N(I38)&gt;=Indicators!$N$36,4,IF(N(I38)&gt;=Indicators!$M$36,3,IF(N(I38)&gt;=Indicators!$L$36,2,1)))),IF(N(I38)&lt;=Indicators!$O$36,5,IF(N(I38)&lt;=Indicators!$N$36,4,IF(N(I38)&lt;=Indicators!$M$36,3,IF(N(I38)&lt;=Indicators!$L$36,2,1)))))))</f>
        <v/>
      </c>
      <c r="K38" s="35">
        <v>2</v>
      </c>
      <c r="L38" s="37">
        <f>IF(Indicators!$D$36="C0","",IF(K38&lt;&gt;"",K38,IF(J38&lt;&gt;"",J38,"")))</f>
        <v>2</v>
      </c>
      <c r="M38" s="35" t="s">
        <v>191</v>
      </c>
      <c r="N38" s="35">
        <v>2025</v>
      </c>
      <c r="O38" s="37" t="str">
        <f t="shared" si="0"/>
        <v/>
      </c>
      <c r="P38" s="35" t="s">
        <v>275</v>
      </c>
      <c r="Q38" s="35"/>
      <c r="R38" s="35" t="s">
        <v>302</v>
      </c>
    </row>
    <row r="39" spans="2:18" ht="15" customHeight="1">
      <c r="B39" s="35" t="s">
        <v>303</v>
      </c>
      <c r="C39" s="36" t="s">
        <v>304</v>
      </c>
      <c r="D39" s="35" t="s">
        <v>73</v>
      </c>
      <c r="E39" s="35" t="s">
        <v>196</v>
      </c>
      <c r="F39" s="35" t="s">
        <v>150</v>
      </c>
      <c r="G39" s="35"/>
      <c r="H39" s="35">
        <v>2</v>
      </c>
      <c r="I39" s="35"/>
      <c r="J39" s="37" t="str">
        <f>IF(I39="","",IF(Indicators!$H$37&lt;&gt;"Quantitative threshold","",IF(Indicators!$I$37="Higher",IF(N(I39)&gt;=Indicators!$O$37,5,IF(N(I39)&gt;=Indicators!$N$37,4,IF(N(I39)&gt;=Indicators!$M$37,3,IF(N(I39)&gt;=Indicators!$L$37,2,1)))),IF(N(I39)&lt;=Indicators!$O$37,5,IF(N(I39)&lt;=Indicators!$N$37,4,IF(N(I39)&lt;=Indicators!$M$37,3,IF(N(I39)&lt;=Indicators!$L$37,2,1)))))))</f>
        <v/>
      </c>
      <c r="K39" s="35">
        <v>2</v>
      </c>
      <c r="L39" s="37">
        <f>IF(Indicators!$D$37="C0","",IF(K39&lt;&gt;"",K39,IF(J39&lt;&gt;"",J39,"")))</f>
        <v>2</v>
      </c>
      <c r="M39" s="35" t="s">
        <v>191</v>
      </c>
      <c r="N39" s="35">
        <v>2025</v>
      </c>
      <c r="O39" s="37" t="str">
        <f t="shared" si="0"/>
        <v/>
      </c>
      <c r="P39" s="35" t="s">
        <v>305</v>
      </c>
      <c r="Q39" s="38" t="s">
        <v>198</v>
      </c>
      <c r="R39" s="35" t="s">
        <v>306</v>
      </c>
    </row>
    <row r="40" spans="2:18" ht="27.75" customHeight="1">
      <c r="B40" s="35" t="s">
        <v>307</v>
      </c>
      <c r="C40" s="36" t="s">
        <v>308</v>
      </c>
      <c r="D40" s="35" t="s">
        <v>73</v>
      </c>
      <c r="E40" s="35" t="s">
        <v>202</v>
      </c>
      <c r="F40" s="35" t="s">
        <v>203</v>
      </c>
      <c r="G40" s="35"/>
      <c r="H40" s="35">
        <v>2</v>
      </c>
      <c r="I40" s="35"/>
      <c r="J40" s="37" t="str">
        <f>IF(I40="","",IF(Indicators!$H$38&lt;&gt;"Quantitative threshold","",IF(Indicators!$I$38="Higher",IF(N(I40)&gt;=Indicators!$O$38,5,IF(N(I40)&gt;=Indicators!$N$38,4,IF(N(I40)&gt;=Indicators!$M$38,3,IF(N(I40)&gt;=Indicators!$L$38,2,1)))),IF(N(I40)&lt;=Indicators!$O$38,5,IF(N(I40)&lt;=Indicators!$N$38,4,IF(N(I40)&lt;=Indicators!$M$38,3,IF(N(I40)&lt;=Indicators!$L$38,2,1)))))))</f>
        <v/>
      </c>
      <c r="K40" s="35">
        <v>1</v>
      </c>
      <c r="L40" s="37">
        <f>IF(Indicators!$D$38="C0","",IF(K40&lt;&gt;"",K40,IF(J40&lt;&gt;"",J40,"")))</f>
        <v>1</v>
      </c>
      <c r="M40" s="35" t="s">
        <v>191</v>
      </c>
      <c r="N40" s="35">
        <v>2025</v>
      </c>
      <c r="O40" s="37" t="str">
        <f t="shared" ref="O40:O71" si="1">IF(N40="","",IF(N40&lt;($L$5-H40),"STALE",""))</f>
        <v/>
      </c>
      <c r="P40" s="35" t="s">
        <v>309</v>
      </c>
      <c r="Q40" s="35"/>
      <c r="R40" s="35" t="s">
        <v>310</v>
      </c>
    </row>
    <row r="41" spans="2:18" ht="15" customHeight="1">
      <c r="B41" s="39" t="s">
        <v>311</v>
      </c>
      <c r="C41" s="36" t="s">
        <v>312</v>
      </c>
      <c r="D41" s="35" t="s">
        <v>75</v>
      </c>
      <c r="E41" s="35" t="s">
        <v>196</v>
      </c>
      <c r="F41" s="35" t="s">
        <v>150</v>
      </c>
      <c r="G41" s="39" t="s">
        <v>204</v>
      </c>
      <c r="H41" s="35">
        <v>3</v>
      </c>
      <c r="I41" s="35"/>
      <c r="J41" s="37" t="str">
        <f>IF(I41="","",IF(Indicators!$H$39&lt;&gt;"Quantitative threshold","",IF(Indicators!$I$39="Higher",IF(N(I41)&gt;=Indicators!$O$39,5,IF(N(I41)&gt;=Indicators!$N$39,4,IF(N(I41)&gt;=Indicators!$M$39,3,IF(N(I41)&gt;=Indicators!$L$39,2,1)))),IF(N(I41)&lt;=Indicators!$O$39,5,IF(N(I41)&lt;=Indicators!$N$39,4,IF(N(I41)&lt;=Indicators!$M$39,3,IF(N(I41)&lt;=Indicators!$L$39,2,1)))))))</f>
        <v/>
      </c>
      <c r="K41" s="35">
        <v>4</v>
      </c>
      <c r="L41" s="37">
        <f>IF(Indicators!$D$39="C0","",IF(K41&lt;&gt;"",K41,IF(J41&lt;&gt;"",J41,"")))</f>
        <v>4</v>
      </c>
      <c r="M41" s="35" t="s">
        <v>151</v>
      </c>
      <c r="N41" s="35">
        <v>2020</v>
      </c>
      <c r="O41" s="37" t="str">
        <f t="shared" si="1"/>
        <v>STALE</v>
      </c>
      <c r="P41" s="35" t="s">
        <v>313</v>
      </c>
      <c r="Q41" s="38" t="s">
        <v>314</v>
      </c>
      <c r="R41" s="35" t="s">
        <v>315</v>
      </c>
    </row>
    <row r="42" spans="2:18" ht="15" customHeight="1">
      <c r="B42" s="39" t="s">
        <v>316</v>
      </c>
      <c r="C42" s="36" t="s">
        <v>317</v>
      </c>
      <c r="D42" s="35" t="s">
        <v>75</v>
      </c>
      <c r="E42" s="35" t="s">
        <v>202</v>
      </c>
      <c r="F42" s="35" t="s">
        <v>203</v>
      </c>
      <c r="G42" s="39" t="s">
        <v>204</v>
      </c>
      <c r="H42" s="35">
        <v>3</v>
      </c>
      <c r="I42" s="35">
        <v>100</v>
      </c>
      <c r="J42" s="37">
        <f>IF(I42="","",IF(Indicators!$H$40&lt;&gt;"Quantitative threshold","",IF(Indicators!$I$40="Higher",IF(N(I42)&gt;=Indicators!$O$40,5,IF(N(I42)&gt;=Indicators!$N$40,4,IF(N(I42)&gt;=Indicators!$M$40,3,IF(N(I42)&gt;=Indicators!$L$40,2,1)))),IF(N(I42)&lt;=Indicators!$O$40,5,IF(N(I42)&lt;=Indicators!$N$40,4,IF(N(I42)&lt;=Indicators!$M$40,3,IF(N(I42)&lt;=Indicators!$L$40,2,1)))))))</f>
        <v>5</v>
      </c>
      <c r="K42" s="35"/>
      <c r="L42" s="37">
        <f>IF(Indicators!$D$40="C0","",IF(K42&lt;&gt;"",K42,IF(J42&lt;&gt;"",J42,"")))</f>
        <v>5</v>
      </c>
      <c r="M42" s="35" t="s">
        <v>151</v>
      </c>
      <c r="N42" s="35">
        <v>2024</v>
      </c>
      <c r="O42" s="37" t="str">
        <f t="shared" si="1"/>
        <v/>
      </c>
      <c r="P42" s="35" t="s">
        <v>318</v>
      </c>
      <c r="Q42" s="38" t="s">
        <v>319</v>
      </c>
      <c r="R42" s="35" t="s">
        <v>320</v>
      </c>
    </row>
    <row r="43" spans="2:18" ht="15" customHeight="1">
      <c r="B43" s="35" t="s">
        <v>321</v>
      </c>
      <c r="C43" s="36" t="s">
        <v>322</v>
      </c>
      <c r="D43" s="35" t="s">
        <v>75</v>
      </c>
      <c r="E43" s="35" t="s">
        <v>202</v>
      </c>
      <c r="F43" s="35" t="s">
        <v>203</v>
      </c>
      <c r="G43" s="35"/>
      <c r="H43" s="35">
        <v>3</v>
      </c>
      <c r="I43" s="35">
        <v>57.5</v>
      </c>
      <c r="J43" s="37">
        <f>IF(I43="","",IF(Indicators!$H$41&lt;&gt;"Quantitative threshold","",IF(Indicators!$I$41="Higher",IF(N(I43)&gt;=Indicators!$O$41,5,IF(N(I43)&gt;=Indicators!$N$41,4,IF(N(I43)&gt;=Indicators!$M$41,3,IF(N(I43)&gt;=Indicators!$L$41,2,1)))),IF(N(I43)&lt;=Indicators!$O$41,5,IF(N(I43)&lt;=Indicators!$N$41,4,IF(N(I43)&lt;=Indicators!$M$41,3,IF(N(I43)&lt;=Indicators!$L$41,2,1)))))))</f>
        <v>3</v>
      </c>
      <c r="K43" s="35"/>
      <c r="L43" s="37">
        <f>IF(Indicators!$D$41="C0","",IF(K43&lt;&gt;"",K43,IF(J43&lt;&gt;"",J43,"")))</f>
        <v>3</v>
      </c>
      <c r="M43" s="35" t="s">
        <v>151</v>
      </c>
      <c r="N43" s="35">
        <v>2025</v>
      </c>
      <c r="O43" s="37" t="str">
        <f t="shared" si="1"/>
        <v/>
      </c>
      <c r="P43" s="35" t="s">
        <v>323</v>
      </c>
      <c r="Q43" s="38" t="s">
        <v>324</v>
      </c>
      <c r="R43" s="35" t="s">
        <v>325</v>
      </c>
    </row>
    <row r="44" spans="2:18" ht="15" customHeight="1">
      <c r="B44" s="35" t="s">
        <v>326</v>
      </c>
      <c r="C44" s="36" t="s">
        <v>327</v>
      </c>
      <c r="D44" s="35" t="s">
        <v>75</v>
      </c>
      <c r="E44" s="35" t="s">
        <v>196</v>
      </c>
      <c r="F44" s="35" t="s">
        <v>150</v>
      </c>
      <c r="G44" s="35"/>
      <c r="H44" s="35">
        <v>2</v>
      </c>
      <c r="I44" s="35"/>
      <c r="J44" s="37" t="str">
        <f>IF(I44="","",IF(Indicators!$H$42&lt;&gt;"Quantitative threshold","",IF(Indicators!$I$42="Higher",IF(N(I44)&gt;=Indicators!$O$42,5,IF(N(I44)&gt;=Indicators!$N$42,4,IF(N(I44)&gt;=Indicators!$M$42,3,IF(N(I44)&gt;=Indicators!$L$42,2,1)))),IF(N(I44)&lt;=Indicators!$O$42,5,IF(N(I44)&lt;=Indicators!$N$42,4,IF(N(I44)&lt;=Indicators!$M$42,3,IF(N(I44)&lt;=Indicators!$L$42,2,1)))))))</f>
        <v/>
      </c>
      <c r="K44" s="35">
        <v>3</v>
      </c>
      <c r="L44" s="37">
        <f>IF(Indicators!$D$42="C0","",IF(K44&lt;&gt;"",K44,IF(J44&lt;&gt;"",J44,"")))</f>
        <v>3</v>
      </c>
      <c r="M44" s="35" t="s">
        <v>162</v>
      </c>
      <c r="N44" s="35">
        <v>2020</v>
      </c>
      <c r="O44" s="37" t="str">
        <f t="shared" si="1"/>
        <v>STALE</v>
      </c>
      <c r="P44" s="35" t="s">
        <v>328</v>
      </c>
      <c r="Q44" s="38" t="s">
        <v>175</v>
      </c>
      <c r="R44" s="35" t="s">
        <v>329</v>
      </c>
    </row>
    <row r="45" spans="2:18" ht="15" customHeight="1">
      <c r="B45" s="39" t="s">
        <v>330</v>
      </c>
      <c r="C45" s="36" t="s">
        <v>331</v>
      </c>
      <c r="D45" s="35" t="s">
        <v>75</v>
      </c>
      <c r="E45" s="35" t="s">
        <v>196</v>
      </c>
      <c r="F45" s="35" t="s">
        <v>150</v>
      </c>
      <c r="G45" s="39" t="s">
        <v>204</v>
      </c>
      <c r="H45" s="35">
        <v>2</v>
      </c>
      <c r="I45" s="35"/>
      <c r="J45" s="37" t="str">
        <f>IF(I45="","",IF(Indicators!$H$43&lt;&gt;"Quantitative threshold","",IF(Indicators!$I$43="Higher",IF(N(I45)&gt;=Indicators!$O$43,5,IF(N(I45)&gt;=Indicators!$N$43,4,IF(N(I45)&gt;=Indicators!$M$43,3,IF(N(I45)&gt;=Indicators!$L$43,2,1)))),IF(N(I45)&lt;=Indicators!$O$43,5,IF(N(I45)&lt;=Indicators!$N$43,4,IF(N(I45)&lt;=Indicators!$M$43,3,IF(N(I45)&lt;=Indicators!$L$43,2,1)))))))</f>
        <v/>
      </c>
      <c r="K45" s="35">
        <v>2</v>
      </c>
      <c r="L45" s="37">
        <f>IF(Indicators!$D$43="C0","",IF(K45&lt;&gt;"",K45,IF(J45&lt;&gt;"",J45,"")))</f>
        <v>2</v>
      </c>
      <c r="M45" s="35" t="s">
        <v>191</v>
      </c>
      <c r="N45" s="35">
        <v>2025</v>
      </c>
      <c r="O45" s="37" t="str">
        <f t="shared" si="1"/>
        <v/>
      </c>
      <c r="P45" s="35" t="s">
        <v>275</v>
      </c>
      <c r="Q45" s="35"/>
      <c r="R45" s="35" t="s">
        <v>332</v>
      </c>
    </row>
    <row r="46" spans="2:18" ht="15" customHeight="1">
      <c r="B46" s="35" t="s">
        <v>333</v>
      </c>
      <c r="C46" s="36" t="s">
        <v>334</v>
      </c>
      <c r="D46" s="35" t="s">
        <v>75</v>
      </c>
      <c r="E46" s="35" t="s">
        <v>196</v>
      </c>
      <c r="F46" s="35" t="s">
        <v>150</v>
      </c>
      <c r="G46" s="35"/>
      <c r="H46" s="35">
        <v>2</v>
      </c>
      <c r="I46" s="35"/>
      <c r="J46" s="37" t="str">
        <f>IF(I46="","",IF(Indicators!$H$44&lt;&gt;"Quantitative threshold","",IF(Indicators!$I$44="Higher",IF(N(I46)&gt;=Indicators!$O$44,5,IF(N(I46)&gt;=Indicators!$N$44,4,IF(N(I46)&gt;=Indicators!$M$44,3,IF(N(I46)&gt;=Indicators!$L$44,2,1)))),IF(N(I46)&lt;=Indicators!$O$44,5,IF(N(I46)&lt;=Indicators!$N$44,4,IF(N(I46)&lt;=Indicators!$M$44,3,IF(N(I46)&lt;=Indicators!$L$44,2,1)))))))</f>
        <v/>
      </c>
      <c r="K46" s="35">
        <v>4</v>
      </c>
      <c r="L46" s="37">
        <f>IF(Indicators!$D$44="C0","",IF(K46&lt;&gt;"",K46,IF(J46&lt;&gt;"",J46,"")))</f>
        <v>4</v>
      </c>
      <c r="M46" s="35" t="s">
        <v>151</v>
      </c>
      <c r="N46" s="35">
        <v>2025</v>
      </c>
      <c r="O46" s="37" t="str">
        <f t="shared" si="1"/>
        <v/>
      </c>
      <c r="P46" s="35" t="s">
        <v>335</v>
      </c>
      <c r="Q46" s="38" t="s">
        <v>336</v>
      </c>
      <c r="R46" s="35" t="s">
        <v>337</v>
      </c>
    </row>
    <row r="47" spans="2:18" ht="15" customHeight="1">
      <c r="B47" s="35" t="s">
        <v>338</v>
      </c>
      <c r="C47" s="36" t="s">
        <v>339</v>
      </c>
      <c r="D47" s="35" t="s">
        <v>75</v>
      </c>
      <c r="E47" s="35" t="s">
        <v>202</v>
      </c>
      <c r="F47" s="35" t="s">
        <v>203</v>
      </c>
      <c r="G47" s="35"/>
      <c r="H47" s="35">
        <v>2</v>
      </c>
      <c r="I47" s="35">
        <v>97.2</v>
      </c>
      <c r="J47" s="37">
        <f>IF(I47="","",IF(Indicators!$H$45&lt;&gt;"Quantitative threshold","",IF(Indicators!$I$45="Higher",IF(N(I47)&gt;=Indicators!$O$45,5,IF(N(I47)&gt;=Indicators!$N$45,4,IF(N(I47)&gt;=Indicators!$M$45,3,IF(N(I47)&gt;=Indicators!$L$45,2,1)))),IF(N(I47)&lt;=Indicators!$O$45,5,IF(N(I47)&lt;=Indicators!$N$45,4,IF(N(I47)&lt;=Indicators!$M$45,3,IF(N(I47)&lt;=Indicators!$L$45,2,1)))))))</f>
        <v>5</v>
      </c>
      <c r="K47" s="35"/>
      <c r="L47" s="37">
        <f>IF(Indicators!$D$45="C0","",IF(K47&lt;&gt;"",K47,IF(J47&lt;&gt;"",J47,"")))</f>
        <v>5</v>
      </c>
      <c r="M47" s="35" t="s">
        <v>151</v>
      </c>
      <c r="N47" s="35">
        <v>2021</v>
      </c>
      <c r="O47" s="37" t="str">
        <f t="shared" si="1"/>
        <v>STALE</v>
      </c>
      <c r="P47" s="35" t="s">
        <v>340</v>
      </c>
      <c r="Q47" s="38" t="s">
        <v>341</v>
      </c>
      <c r="R47" s="35" t="s">
        <v>342</v>
      </c>
    </row>
    <row r="48" spans="2:18" ht="15" customHeight="1">
      <c r="B48" s="35" t="s">
        <v>343</v>
      </c>
      <c r="C48" s="36" t="s">
        <v>344</v>
      </c>
      <c r="D48" s="35" t="s">
        <v>75</v>
      </c>
      <c r="E48" s="35" t="s">
        <v>196</v>
      </c>
      <c r="F48" s="35" t="s">
        <v>150</v>
      </c>
      <c r="G48" s="35"/>
      <c r="H48" s="35">
        <v>2</v>
      </c>
      <c r="I48" s="35"/>
      <c r="J48" s="37" t="str">
        <f>IF(I48="","",IF(Indicators!$H$46&lt;&gt;"Quantitative threshold","",IF(Indicators!$I$46="Higher",IF(N(I48)&gt;=Indicators!$O$46,5,IF(N(I48)&gt;=Indicators!$N$46,4,IF(N(I48)&gt;=Indicators!$M$46,3,IF(N(I48)&gt;=Indicators!$L$46,2,1)))),IF(N(I48)&lt;=Indicators!$O$46,5,IF(N(I48)&lt;=Indicators!$N$46,4,IF(N(I48)&lt;=Indicators!$M$46,3,IF(N(I48)&lt;=Indicators!$L$46,2,1)))))))</f>
        <v/>
      </c>
      <c r="K48" s="35">
        <v>2</v>
      </c>
      <c r="L48" s="37">
        <f>IF(Indicators!$D$46="C0","",IF(K48&lt;&gt;"",K48,IF(J48&lt;&gt;"",J48,"")))</f>
        <v>2</v>
      </c>
      <c r="M48" s="35" t="s">
        <v>191</v>
      </c>
      <c r="N48" s="35">
        <v>2020</v>
      </c>
      <c r="O48" s="37" t="str">
        <f t="shared" si="1"/>
        <v>STALE</v>
      </c>
      <c r="P48" s="35" t="s">
        <v>345</v>
      </c>
      <c r="Q48" s="38" t="s">
        <v>314</v>
      </c>
      <c r="R48" s="35" t="s">
        <v>346</v>
      </c>
    </row>
    <row r="49" spans="2:18" ht="27.75" customHeight="1">
      <c r="B49" s="39" t="s">
        <v>347</v>
      </c>
      <c r="C49" s="36" t="s">
        <v>348</v>
      </c>
      <c r="D49" s="35" t="s">
        <v>75</v>
      </c>
      <c r="E49" s="35" t="s">
        <v>196</v>
      </c>
      <c r="F49" s="35" t="s">
        <v>150</v>
      </c>
      <c r="G49" s="39" t="s">
        <v>204</v>
      </c>
      <c r="H49" s="35">
        <v>2</v>
      </c>
      <c r="I49" s="35"/>
      <c r="J49" s="37" t="str">
        <f>IF(I49="","",IF(Indicators!$H$47&lt;&gt;"Quantitative threshold","",IF(Indicators!$I$47="Higher",IF(N(I49)&gt;=Indicators!$O$47,5,IF(N(I49)&gt;=Indicators!$N$47,4,IF(N(I49)&gt;=Indicators!$M$47,3,IF(N(I49)&gt;=Indicators!$L$47,2,1)))),IF(N(I49)&lt;=Indicators!$O$47,5,IF(N(I49)&lt;=Indicators!$N$47,4,IF(N(I49)&lt;=Indicators!$M$47,3,IF(N(I49)&lt;=Indicators!$L$47,2,1)))))))</f>
        <v/>
      </c>
      <c r="K49" s="35">
        <v>4</v>
      </c>
      <c r="L49" s="37">
        <f>IF(Indicators!$D$47="C0","",IF(K49&lt;&gt;"",K49,IF(J49&lt;&gt;"",J49,"")))</f>
        <v>4</v>
      </c>
      <c r="M49" s="35" t="s">
        <v>162</v>
      </c>
      <c r="N49" s="35">
        <v>2025</v>
      </c>
      <c r="O49" s="37" t="str">
        <f t="shared" si="1"/>
        <v/>
      </c>
      <c r="P49" s="35" t="s">
        <v>349</v>
      </c>
      <c r="Q49" s="38" t="s">
        <v>198</v>
      </c>
      <c r="R49" s="35" t="s">
        <v>350</v>
      </c>
    </row>
    <row r="50" spans="2:18" ht="27.75" customHeight="1">
      <c r="B50" s="35" t="s">
        <v>351</v>
      </c>
      <c r="C50" s="36" t="s">
        <v>352</v>
      </c>
      <c r="D50" s="35" t="s">
        <v>75</v>
      </c>
      <c r="E50" s="35" t="s">
        <v>196</v>
      </c>
      <c r="F50" s="35" t="s">
        <v>150</v>
      </c>
      <c r="G50" s="35"/>
      <c r="H50" s="35">
        <v>2</v>
      </c>
      <c r="I50" s="35"/>
      <c r="J50" s="37" t="str">
        <f>IF(I50="","",IF(Indicators!$H$48&lt;&gt;"Quantitative threshold","",IF(Indicators!$I$48="Higher",IF(N(I50)&gt;=Indicators!$O$48,5,IF(N(I50)&gt;=Indicators!$N$48,4,IF(N(I50)&gt;=Indicators!$M$48,3,IF(N(I50)&gt;=Indicators!$L$48,2,1)))),IF(N(I50)&lt;=Indicators!$O$48,5,IF(N(I50)&lt;=Indicators!$N$48,4,IF(N(I50)&lt;=Indicators!$M$48,3,IF(N(I50)&lt;=Indicators!$L$48,2,1)))))))</f>
        <v/>
      </c>
      <c r="K50" s="35">
        <v>2</v>
      </c>
      <c r="L50" s="37">
        <f>IF(Indicators!$D$48="C0","",IF(K50&lt;&gt;"",K50,IF(J50&lt;&gt;"",J50,"")))</f>
        <v>2</v>
      </c>
      <c r="M50" s="35" t="s">
        <v>191</v>
      </c>
      <c r="N50" s="35">
        <v>2025</v>
      </c>
      <c r="O50" s="37" t="str">
        <f t="shared" si="1"/>
        <v/>
      </c>
      <c r="P50" s="35" t="s">
        <v>353</v>
      </c>
      <c r="Q50" s="35"/>
      <c r="R50" s="35" t="s">
        <v>354</v>
      </c>
    </row>
    <row r="51" spans="2:18" ht="27.75" customHeight="1">
      <c r="B51" s="35" t="s">
        <v>355</v>
      </c>
      <c r="C51" s="36" t="s">
        <v>356</v>
      </c>
      <c r="D51" s="35" t="s">
        <v>75</v>
      </c>
      <c r="E51" s="35" t="s">
        <v>196</v>
      </c>
      <c r="F51" s="35" t="s">
        <v>150</v>
      </c>
      <c r="G51" s="35"/>
      <c r="H51" s="35">
        <v>2</v>
      </c>
      <c r="I51" s="35"/>
      <c r="J51" s="37" t="str">
        <f>IF(I51="","",IF(Indicators!$H$49&lt;&gt;"Quantitative threshold","",IF(Indicators!$I$49="Higher",IF(N(I51)&gt;=Indicators!$O$49,5,IF(N(I51)&gt;=Indicators!$N$49,4,IF(N(I51)&gt;=Indicators!$M$49,3,IF(N(I51)&gt;=Indicators!$L$49,2,1)))),IF(N(I51)&lt;=Indicators!$O$49,5,IF(N(I51)&lt;=Indicators!$N$49,4,IF(N(I51)&lt;=Indicators!$M$49,3,IF(N(I51)&lt;=Indicators!$L$49,2,1)))))))</f>
        <v/>
      </c>
      <c r="K51" s="35">
        <v>2</v>
      </c>
      <c r="L51" s="37">
        <f>IF(Indicators!$D$49="C0","",IF(K51&lt;&gt;"",K51,IF(J51&lt;&gt;"",J51,"")))</f>
        <v>2</v>
      </c>
      <c r="M51" s="35" t="s">
        <v>191</v>
      </c>
      <c r="N51" s="35">
        <v>2025</v>
      </c>
      <c r="O51" s="37" t="str">
        <f t="shared" si="1"/>
        <v/>
      </c>
      <c r="P51" s="35" t="s">
        <v>275</v>
      </c>
      <c r="Q51" s="35"/>
      <c r="R51" s="35" t="s">
        <v>357</v>
      </c>
    </row>
    <row r="52" spans="2:18" ht="15" customHeight="1">
      <c r="B52" s="35" t="s">
        <v>358</v>
      </c>
      <c r="C52" s="36" t="s">
        <v>359</v>
      </c>
      <c r="D52" s="35" t="s">
        <v>75</v>
      </c>
      <c r="E52" s="35" t="s">
        <v>196</v>
      </c>
      <c r="F52" s="35" t="s">
        <v>150</v>
      </c>
      <c r="G52" s="35"/>
      <c r="H52" s="35">
        <v>2</v>
      </c>
      <c r="I52" s="35"/>
      <c r="J52" s="37" t="str">
        <f>IF(I52="","",IF(Indicators!$H$50&lt;&gt;"Quantitative threshold","",IF(Indicators!$I$50="Higher",IF(N(I52)&gt;=Indicators!$O$50,5,IF(N(I52)&gt;=Indicators!$N$50,4,IF(N(I52)&gt;=Indicators!$M$50,3,IF(N(I52)&gt;=Indicators!$L$50,2,1)))),IF(N(I52)&lt;=Indicators!$O$50,5,IF(N(I52)&lt;=Indicators!$N$50,4,IF(N(I52)&lt;=Indicators!$M$50,3,IF(N(I52)&lt;=Indicators!$L$50,2,1)))))))</f>
        <v/>
      </c>
      <c r="K52" s="35">
        <v>2</v>
      </c>
      <c r="L52" s="37">
        <f>IF(Indicators!$D$50="C0","",IF(K52&lt;&gt;"",K52,IF(J52&lt;&gt;"",J52,"")))</f>
        <v>2</v>
      </c>
      <c r="M52" s="35" t="s">
        <v>191</v>
      </c>
      <c r="N52" s="35">
        <v>2025</v>
      </c>
      <c r="O52" s="37" t="str">
        <f t="shared" si="1"/>
        <v/>
      </c>
      <c r="P52" s="35" t="s">
        <v>360</v>
      </c>
      <c r="Q52" s="38" t="s">
        <v>361</v>
      </c>
      <c r="R52" s="35" t="s">
        <v>362</v>
      </c>
    </row>
    <row r="53" spans="2:18" ht="15" customHeight="1">
      <c r="B53" s="35" t="s">
        <v>363</v>
      </c>
      <c r="C53" s="36" t="s">
        <v>364</v>
      </c>
      <c r="D53" s="35" t="s">
        <v>75</v>
      </c>
      <c r="E53" s="35" t="s">
        <v>196</v>
      </c>
      <c r="F53" s="35" t="s">
        <v>150</v>
      </c>
      <c r="G53" s="35"/>
      <c r="H53" s="35">
        <v>2</v>
      </c>
      <c r="I53" s="35"/>
      <c r="J53" s="37" t="str">
        <f>IF(I53="","",IF(Indicators!$H$51&lt;&gt;"Quantitative threshold","",IF(Indicators!$I$51="Higher",IF(N(I53)&gt;=Indicators!$O$51,5,IF(N(I53)&gt;=Indicators!$N$51,4,IF(N(I53)&gt;=Indicators!$M$51,3,IF(N(I53)&gt;=Indicators!$L$51,2,1)))),IF(N(I53)&lt;=Indicators!$O$51,5,IF(N(I53)&lt;=Indicators!$N$51,4,IF(N(I53)&lt;=Indicators!$M$51,3,IF(N(I53)&lt;=Indicators!$L$51,2,1)))))))</f>
        <v/>
      </c>
      <c r="K53" s="35">
        <v>3</v>
      </c>
      <c r="L53" s="37">
        <f>IF(Indicators!$D$51="C0","",IF(K53&lt;&gt;"",K53,IF(J53&lt;&gt;"",J53,"")))</f>
        <v>3</v>
      </c>
      <c r="M53" s="35" t="s">
        <v>162</v>
      </c>
      <c r="N53" s="35">
        <v>2025</v>
      </c>
      <c r="O53" s="37" t="str">
        <f t="shared" si="1"/>
        <v/>
      </c>
      <c r="P53" s="35" t="s">
        <v>365</v>
      </c>
      <c r="Q53" s="38" t="s">
        <v>366</v>
      </c>
      <c r="R53" s="35" t="s">
        <v>367</v>
      </c>
    </row>
    <row r="54" spans="2:18" ht="15" customHeight="1">
      <c r="B54" s="35" t="s">
        <v>368</v>
      </c>
      <c r="C54" s="36" t="s">
        <v>369</v>
      </c>
      <c r="D54" s="35" t="s">
        <v>77</v>
      </c>
      <c r="E54" s="35" t="s">
        <v>202</v>
      </c>
      <c r="F54" s="35" t="s">
        <v>203</v>
      </c>
      <c r="G54" s="35"/>
      <c r="H54" s="35">
        <v>3</v>
      </c>
      <c r="I54" s="35">
        <v>7.5</v>
      </c>
      <c r="J54" s="37">
        <f>IF(I54="","",IF(Indicators!$H$52&lt;&gt;"Quantitative threshold","",IF(Indicators!$I$52="Higher",IF(N(I54)&gt;=Indicators!$O$52,5,IF(N(I54)&gt;=Indicators!$N$52,4,IF(N(I54)&gt;=Indicators!$M$52,3,IF(N(I54)&gt;=Indicators!$L$52,2,1)))),IF(N(I54)&lt;=Indicators!$O$52,5,IF(N(I54)&lt;=Indicators!$N$52,4,IF(N(I54)&lt;=Indicators!$M$52,3,IF(N(I54)&lt;=Indicators!$L$52,2,1)))))))</f>
        <v>3</v>
      </c>
      <c r="K54" s="35"/>
      <c r="L54" s="37">
        <f>IF(Indicators!$D$52="C0","",IF(K54&lt;&gt;"",K54,IF(J54&lt;&gt;"",J54,"")))</f>
        <v>3</v>
      </c>
      <c r="M54" s="35" t="s">
        <v>162</v>
      </c>
      <c r="N54" s="35">
        <v>2023</v>
      </c>
      <c r="O54" s="37" t="str">
        <f t="shared" si="1"/>
        <v/>
      </c>
      <c r="P54" s="35" t="s">
        <v>370</v>
      </c>
      <c r="Q54" s="38" t="s">
        <v>371</v>
      </c>
      <c r="R54" s="35" t="s">
        <v>372</v>
      </c>
    </row>
    <row r="55" spans="2:18" ht="15" customHeight="1">
      <c r="B55" s="35" t="s">
        <v>373</v>
      </c>
      <c r="C55" s="36" t="s">
        <v>374</v>
      </c>
      <c r="D55" s="35" t="s">
        <v>77</v>
      </c>
      <c r="E55" s="35" t="s">
        <v>202</v>
      </c>
      <c r="F55" s="35" t="s">
        <v>203</v>
      </c>
      <c r="G55" s="35"/>
      <c r="H55" s="35">
        <v>3</v>
      </c>
      <c r="I55" s="35">
        <v>79.45</v>
      </c>
      <c r="J55" s="37">
        <f>IF(I55="","",IF(Indicators!$H$53&lt;&gt;"Quantitative threshold","",IF(Indicators!$I$53="Higher",IF(N(I55)&gt;=Indicators!$O$53,5,IF(N(I55)&gt;=Indicators!$N$53,4,IF(N(I55)&gt;=Indicators!$M$53,3,IF(N(I55)&gt;=Indicators!$L$53,2,1)))),IF(N(I55)&lt;=Indicators!$O$53,5,IF(N(I55)&lt;=Indicators!$N$53,4,IF(N(I55)&lt;=Indicators!$M$53,3,IF(N(I55)&lt;=Indicators!$L$53,2,1)))))))</f>
        <v>3</v>
      </c>
      <c r="K55" s="35"/>
      <c r="L55" s="37">
        <f>IF(Indicators!$D$53="C0","",IF(K55&lt;&gt;"",K55,IF(J55&lt;&gt;"",J55,"")))</f>
        <v>3</v>
      </c>
      <c r="M55" s="35" t="s">
        <v>151</v>
      </c>
      <c r="N55" s="35">
        <v>2022</v>
      </c>
      <c r="O55" s="37" t="str">
        <f t="shared" si="1"/>
        <v/>
      </c>
      <c r="P55" s="35" t="s">
        <v>375</v>
      </c>
      <c r="Q55" s="38" t="s">
        <v>376</v>
      </c>
      <c r="R55" s="35" t="s">
        <v>377</v>
      </c>
    </row>
    <row r="56" spans="2:18" ht="15" customHeight="1">
      <c r="B56" s="35" t="s">
        <v>378</v>
      </c>
      <c r="C56" s="36" t="s">
        <v>379</v>
      </c>
      <c r="D56" s="35" t="s">
        <v>77</v>
      </c>
      <c r="E56" s="35" t="s">
        <v>202</v>
      </c>
      <c r="F56" s="35" t="s">
        <v>203</v>
      </c>
      <c r="G56" s="35"/>
      <c r="H56" s="35">
        <v>3</v>
      </c>
      <c r="I56" s="35">
        <v>38.04</v>
      </c>
      <c r="J56" s="37">
        <f>IF(I56="","",IF(Indicators!$H$54&lt;&gt;"Quantitative threshold","",IF(Indicators!$I$54="Higher",IF(N(I56)&gt;=Indicators!$O$54,5,IF(N(I56)&gt;=Indicators!$N$54,4,IF(N(I56)&gt;=Indicators!$M$54,3,IF(N(I56)&gt;=Indicators!$L$54,2,1)))),IF(N(I56)&lt;=Indicators!$O$54,5,IF(N(I56)&lt;=Indicators!$N$54,4,IF(N(I56)&lt;=Indicators!$M$54,3,IF(N(I56)&lt;=Indicators!$L$54,2,1)))))))</f>
        <v>4</v>
      </c>
      <c r="K56" s="35"/>
      <c r="L56" s="37">
        <f>IF(Indicators!$D$54="C0","",IF(K56&lt;&gt;"",K56,IF(J56&lt;&gt;"",J56,"")))</f>
        <v>4</v>
      </c>
      <c r="M56" s="35" t="s">
        <v>191</v>
      </c>
      <c r="N56" s="35">
        <v>2023</v>
      </c>
      <c r="O56" s="37" t="str">
        <f t="shared" si="1"/>
        <v/>
      </c>
      <c r="P56" s="35" t="s">
        <v>380</v>
      </c>
      <c r="Q56" s="38" t="s">
        <v>381</v>
      </c>
      <c r="R56" s="35" t="s">
        <v>382</v>
      </c>
    </row>
    <row r="57" spans="2:18" ht="15" customHeight="1">
      <c r="B57" s="35" t="s">
        <v>383</v>
      </c>
      <c r="C57" s="36" t="s">
        <v>384</v>
      </c>
      <c r="D57" s="35" t="s">
        <v>77</v>
      </c>
      <c r="E57" s="35" t="s">
        <v>202</v>
      </c>
      <c r="F57" s="35" t="s">
        <v>203</v>
      </c>
      <c r="G57" s="35"/>
      <c r="H57" s="35">
        <v>2</v>
      </c>
      <c r="I57" s="35" t="s">
        <v>385</v>
      </c>
      <c r="J57" s="37">
        <f>IF(I57="","",IF(Indicators!$H$55&lt;&gt;"Quantitative threshold","",IF(Indicators!$I$55="Higher",IF(N(I57)&gt;=Indicators!$O$55,5,IF(N(I57)&gt;=Indicators!$N$55,4,IF(N(I57)&gt;=Indicators!$M$55,3,IF(N(I57)&gt;=Indicators!$L$55,2,1)))),IF(N(I57)&lt;=Indicators!$O$55,5,IF(N(I57)&lt;=Indicators!$N$55,4,IF(N(I57)&lt;=Indicators!$M$55,3,IF(N(I57)&lt;=Indicators!$L$55,2,1)))))))</f>
        <v>1</v>
      </c>
      <c r="K57" s="35"/>
      <c r="L57" s="37">
        <f>IF(Indicators!$D$55="C0","",IF(K57&lt;&gt;"",K57,IF(J57&lt;&gt;"",J57,"")))</f>
        <v>1</v>
      </c>
      <c r="M57" s="35" t="s">
        <v>162</v>
      </c>
      <c r="N57" s="35">
        <v>2024</v>
      </c>
      <c r="O57" s="37" t="str">
        <f t="shared" si="1"/>
        <v/>
      </c>
      <c r="P57" s="35" t="s">
        <v>386</v>
      </c>
      <c r="Q57" s="38" t="s">
        <v>387</v>
      </c>
      <c r="R57" s="35" t="s">
        <v>388</v>
      </c>
    </row>
    <row r="58" spans="2:18" ht="15" customHeight="1">
      <c r="B58" s="39" t="s">
        <v>389</v>
      </c>
      <c r="C58" s="36" t="s">
        <v>390</v>
      </c>
      <c r="D58" s="35" t="s">
        <v>77</v>
      </c>
      <c r="E58" s="35" t="s">
        <v>202</v>
      </c>
      <c r="F58" s="35" t="s">
        <v>203</v>
      </c>
      <c r="G58" s="39" t="s">
        <v>204</v>
      </c>
      <c r="H58" s="35">
        <v>2</v>
      </c>
      <c r="I58" s="35"/>
      <c r="J58" s="37" t="str">
        <f>IF(I58="","",IF(Indicators!$H$56&lt;&gt;"Quantitative threshold","",IF(Indicators!$I$56="Higher",IF(N(I58)&gt;=Indicators!$O$56,5,IF(N(I58)&gt;=Indicators!$N$56,4,IF(N(I58)&gt;=Indicators!$M$56,3,IF(N(I58)&gt;=Indicators!$L$56,2,1)))),IF(N(I58)&lt;=Indicators!$O$56,5,IF(N(I58)&lt;=Indicators!$N$56,4,IF(N(I58)&lt;=Indicators!$M$56,3,IF(N(I58)&lt;=Indicators!$L$56,2,1)))))))</f>
        <v/>
      </c>
      <c r="K58" s="35">
        <v>3</v>
      </c>
      <c r="L58" s="37">
        <f>IF(Indicators!$D$56="C0","",IF(K58&lt;&gt;"",K58,IF(J58&lt;&gt;"",J58,"")))</f>
        <v>3</v>
      </c>
      <c r="M58" s="35" t="s">
        <v>162</v>
      </c>
      <c r="N58" s="35">
        <v>2025</v>
      </c>
      <c r="O58" s="37" t="str">
        <f t="shared" si="1"/>
        <v/>
      </c>
      <c r="P58" s="35" t="s">
        <v>391</v>
      </c>
      <c r="Q58" s="38" t="s">
        <v>392</v>
      </c>
      <c r="R58" s="35" t="s">
        <v>393</v>
      </c>
    </row>
    <row r="59" spans="2:18" ht="15" customHeight="1">
      <c r="B59" s="35" t="s">
        <v>394</v>
      </c>
      <c r="C59" s="36" t="s">
        <v>395</v>
      </c>
      <c r="D59" s="35" t="s">
        <v>77</v>
      </c>
      <c r="E59" s="35" t="s">
        <v>196</v>
      </c>
      <c r="F59" s="35" t="s">
        <v>150</v>
      </c>
      <c r="G59" s="35"/>
      <c r="H59" s="35">
        <v>2</v>
      </c>
      <c r="I59" s="35" t="s">
        <v>396</v>
      </c>
      <c r="J59" s="37" t="str">
        <f>IF(I59="","",IF(Indicators!$H$57&lt;&gt;"Quantitative threshold","",IF(Indicators!$I$57="Higher",IF(N(I59)&gt;=Indicators!$O$57,5,IF(N(I59)&gt;=Indicators!$N$57,4,IF(N(I59)&gt;=Indicators!$M$57,3,IF(N(I59)&gt;=Indicators!$L$57,2,1)))),IF(N(I59)&lt;=Indicators!$O$57,5,IF(N(I59)&lt;=Indicators!$N$57,4,IF(N(I59)&lt;=Indicators!$M$57,3,IF(N(I59)&lt;=Indicators!$L$57,2,1)))))))</f>
        <v/>
      </c>
      <c r="K59" s="35"/>
      <c r="L59" s="37" t="str">
        <f>IF(Indicators!$D$57="C0","",IF(K59&lt;&gt;"",K59,IF(J59&lt;&gt;"",J59,"")))</f>
        <v/>
      </c>
      <c r="M59" s="35" t="s">
        <v>191</v>
      </c>
      <c r="N59" s="35">
        <v>2012</v>
      </c>
      <c r="O59" s="37" t="str">
        <f t="shared" si="1"/>
        <v>STALE</v>
      </c>
      <c r="P59" s="35" t="s">
        <v>397</v>
      </c>
      <c r="Q59" s="38" t="s">
        <v>392</v>
      </c>
      <c r="R59" s="35" t="s">
        <v>398</v>
      </c>
    </row>
    <row r="60" spans="2:18" ht="15" customHeight="1">
      <c r="B60" s="39" t="s">
        <v>399</v>
      </c>
      <c r="C60" s="36" t="s">
        <v>400</v>
      </c>
      <c r="D60" s="35" t="s">
        <v>77</v>
      </c>
      <c r="E60" s="35" t="s">
        <v>196</v>
      </c>
      <c r="F60" s="35" t="s">
        <v>150</v>
      </c>
      <c r="G60" s="39" t="s">
        <v>204</v>
      </c>
      <c r="H60" s="35">
        <v>2</v>
      </c>
      <c r="I60" s="35"/>
      <c r="J60" s="37" t="str">
        <f>IF(I60="","",IF(Indicators!$H$58&lt;&gt;"Quantitative threshold","",IF(Indicators!$I$58="Higher",IF(N(I60)&gt;=Indicators!$O$58,5,IF(N(I60)&gt;=Indicators!$N$58,4,IF(N(I60)&gt;=Indicators!$M$58,3,IF(N(I60)&gt;=Indicators!$L$58,2,1)))),IF(N(I60)&lt;=Indicators!$O$58,5,IF(N(I60)&lt;=Indicators!$N$58,4,IF(N(I60)&lt;=Indicators!$M$58,3,IF(N(I60)&lt;=Indicators!$L$58,2,1)))))))</f>
        <v/>
      </c>
      <c r="K60" s="35">
        <v>4</v>
      </c>
      <c r="L60" s="37">
        <f>IF(Indicators!$D$58="C0","",IF(K60&lt;&gt;"",K60,IF(J60&lt;&gt;"",J60,"")))</f>
        <v>4</v>
      </c>
      <c r="M60" s="35" t="s">
        <v>162</v>
      </c>
      <c r="N60" s="35">
        <v>2021</v>
      </c>
      <c r="O60" s="37" t="str">
        <f t="shared" si="1"/>
        <v>STALE</v>
      </c>
      <c r="P60" s="35" t="s">
        <v>401</v>
      </c>
      <c r="Q60" s="38" t="s">
        <v>402</v>
      </c>
      <c r="R60" s="35" t="s">
        <v>403</v>
      </c>
    </row>
    <row r="61" spans="2:18" ht="15" customHeight="1">
      <c r="B61" s="35" t="s">
        <v>404</v>
      </c>
      <c r="C61" s="36" t="s">
        <v>405</v>
      </c>
      <c r="D61" s="35" t="s">
        <v>77</v>
      </c>
      <c r="E61" s="35" t="s">
        <v>196</v>
      </c>
      <c r="F61" s="35" t="s">
        <v>150</v>
      </c>
      <c r="G61" s="35"/>
      <c r="H61" s="35">
        <v>2</v>
      </c>
      <c r="I61" s="35"/>
      <c r="J61" s="37" t="str">
        <f>IF(I61="","",IF(Indicators!$H$59&lt;&gt;"Quantitative threshold","",IF(Indicators!$I$59="Higher",IF(N(I61)&gt;=Indicators!$O$59,5,IF(N(I61)&gt;=Indicators!$N$59,4,IF(N(I61)&gt;=Indicators!$M$59,3,IF(N(I61)&gt;=Indicators!$L$59,2,1)))),IF(N(I61)&lt;=Indicators!$O$59,5,IF(N(I61)&lt;=Indicators!$N$59,4,IF(N(I61)&lt;=Indicators!$M$59,3,IF(N(I61)&lt;=Indicators!$L$59,2,1)))))))</f>
        <v/>
      </c>
      <c r="K61" s="35">
        <v>2</v>
      </c>
      <c r="L61" s="37">
        <f>IF(Indicators!$D$59="C0","",IF(K61&lt;&gt;"",K61,IF(J61&lt;&gt;"",J61,"")))</f>
        <v>2</v>
      </c>
      <c r="M61" s="35" t="s">
        <v>191</v>
      </c>
      <c r="N61" s="35">
        <v>2025</v>
      </c>
      <c r="O61" s="37" t="str">
        <f t="shared" si="1"/>
        <v/>
      </c>
      <c r="P61" s="35" t="s">
        <v>275</v>
      </c>
      <c r="Q61" s="35"/>
      <c r="R61" s="35" t="s">
        <v>406</v>
      </c>
    </row>
    <row r="62" spans="2:18" ht="15" customHeight="1">
      <c r="B62" s="35" t="s">
        <v>407</v>
      </c>
      <c r="C62" s="36" t="s">
        <v>408</v>
      </c>
      <c r="D62" s="35" t="s">
        <v>77</v>
      </c>
      <c r="E62" s="35" t="s">
        <v>196</v>
      </c>
      <c r="F62" s="35" t="s">
        <v>150</v>
      </c>
      <c r="G62" s="35"/>
      <c r="H62" s="35">
        <v>2</v>
      </c>
      <c r="I62" s="35"/>
      <c r="J62" s="37" t="str">
        <f>IF(I62="","",IF(Indicators!$H$60&lt;&gt;"Quantitative threshold","",IF(Indicators!$I$60="Higher",IF(N(I62)&gt;=Indicators!$O$60,5,IF(N(I62)&gt;=Indicators!$N$60,4,IF(N(I62)&gt;=Indicators!$M$60,3,IF(N(I62)&gt;=Indicators!$L$60,2,1)))),IF(N(I62)&lt;=Indicators!$O$60,5,IF(N(I62)&lt;=Indicators!$N$60,4,IF(N(I62)&lt;=Indicators!$M$60,3,IF(N(I62)&lt;=Indicators!$L$60,2,1)))))))</f>
        <v/>
      </c>
      <c r="K62" s="35">
        <v>2</v>
      </c>
      <c r="L62" s="37">
        <f>IF(Indicators!$D$60="C0","",IF(K62&lt;&gt;"",K62,IF(J62&lt;&gt;"",J62,"")))</f>
        <v>2</v>
      </c>
      <c r="M62" s="35" t="s">
        <v>191</v>
      </c>
      <c r="N62" s="35">
        <v>2025</v>
      </c>
      <c r="O62" s="37" t="str">
        <f t="shared" si="1"/>
        <v/>
      </c>
      <c r="P62" s="35" t="s">
        <v>409</v>
      </c>
      <c r="Q62" s="35"/>
      <c r="R62" s="35" t="s">
        <v>410</v>
      </c>
    </row>
    <row r="63" spans="2:18" ht="27.75" customHeight="1">
      <c r="B63" s="35" t="s">
        <v>411</v>
      </c>
      <c r="C63" s="36" t="s">
        <v>412</v>
      </c>
      <c r="D63" s="35" t="s">
        <v>77</v>
      </c>
      <c r="E63" s="35" t="s">
        <v>202</v>
      </c>
      <c r="F63" s="35" t="s">
        <v>203</v>
      </c>
      <c r="G63" s="35"/>
      <c r="H63" s="35">
        <v>2</v>
      </c>
      <c r="I63" s="35" t="s">
        <v>413</v>
      </c>
      <c r="J63" s="37">
        <f>IF(I63="","",IF(Indicators!$H$61&lt;&gt;"Quantitative threshold","",IF(Indicators!$I$61="Higher",IF(N(I63)&gt;=Indicators!$O$61,5,IF(N(I63)&gt;=Indicators!$N$61,4,IF(N(I63)&gt;=Indicators!$M$61,3,IF(N(I63)&gt;=Indicators!$L$61,2,1)))),IF(N(I63)&lt;=Indicators!$O$61,5,IF(N(I63)&lt;=Indicators!$N$61,4,IF(N(I63)&lt;=Indicators!$M$61,3,IF(N(I63)&lt;=Indicators!$L$61,2,1)))))))</f>
        <v>1</v>
      </c>
      <c r="K63" s="35"/>
      <c r="L63" s="37">
        <f>IF(Indicators!$D$61="C0","",IF(K63&lt;&gt;"",K63,IF(J63&lt;&gt;"",J63,"")))</f>
        <v>1</v>
      </c>
      <c r="M63" s="35" t="s">
        <v>191</v>
      </c>
      <c r="N63" s="35">
        <v>2024</v>
      </c>
      <c r="O63" s="37" t="str">
        <f t="shared" si="1"/>
        <v/>
      </c>
      <c r="P63" s="35" t="s">
        <v>414</v>
      </c>
      <c r="Q63" s="38" t="s">
        <v>415</v>
      </c>
      <c r="R63" s="35" t="s">
        <v>416</v>
      </c>
    </row>
    <row r="64" spans="2:18" ht="27.75" customHeight="1">
      <c r="B64" s="35" t="s">
        <v>417</v>
      </c>
      <c r="C64" s="36" t="s">
        <v>418</v>
      </c>
      <c r="D64" s="35" t="s">
        <v>77</v>
      </c>
      <c r="E64" s="35" t="s">
        <v>196</v>
      </c>
      <c r="F64" s="35" t="s">
        <v>150</v>
      </c>
      <c r="G64" s="35"/>
      <c r="H64" s="35">
        <v>2</v>
      </c>
      <c r="I64" s="35"/>
      <c r="J64" s="37" t="str">
        <f>IF(I64="","",IF(Indicators!$H$62&lt;&gt;"Quantitative threshold","",IF(Indicators!$I$62="Higher",IF(N(I64)&gt;=Indicators!$O$62,5,IF(N(I64)&gt;=Indicators!$N$62,4,IF(N(I64)&gt;=Indicators!$M$62,3,IF(N(I64)&gt;=Indicators!$L$62,2,1)))),IF(N(I64)&lt;=Indicators!$O$62,5,IF(N(I64)&lt;=Indicators!$N$62,4,IF(N(I64)&lt;=Indicators!$M$62,3,IF(N(I64)&lt;=Indicators!$L$62,2,1)))))))</f>
        <v/>
      </c>
      <c r="K64" s="35">
        <v>3</v>
      </c>
      <c r="L64" s="37">
        <f>IF(Indicators!$D$62="C0","",IF(K64&lt;&gt;"",K64,IF(J64&lt;&gt;"",J64,"")))</f>
        <v>3</v>
      </c>
      <c r="M64" s="35" t="s">
        <v>162</v>
      </c>
      <c r="N64" s="35">
        <v>2025</v>
      </c>
      <c r="O64" s="37" t="str">
        <f t="shared" si="1"/>
        <v/>
      </c>
      <c r="P64" s="35" t="s">
        <v>419</v>
      </c>
      <c r="Q64" s="38" t="s">
        <v>198</v>
      </c>
      <c r="R64" s="35" t="s">
        <v>420</v>
      </c>
    </row>
    <row r="65" spans="2:18" ht="15" customHeight="1">
      <c r="B65" s="35" t="s">
        <v>421</v>
      </c>
      <c r="C65" s="36" t="s">
        <v>422</v>
      </c>
      <c r="D65" s="35" t="s">
        <v>77</v>
      </c>
      <c r="E65" s="35" t="s">
        <v>202</v>
      </c>
      <c r="F65" s="35" t="s">
        <v>203</v>
      </c>
      <c r="G65" s="35"/>
      <c r="H65" s="35">
        <v>2</v>
      </c>
      <c r="I65" s="35">
        <v>3.9</v>
      </c>
      <c r="J65" s="37">
        <f>IF(I65="","",IF(Indicators!$H$63&lt;&gt;"Quantitative threshold","",IF(Indicators!$I$63="Higher",IF(N(I65)&gt;=Indicators!$O$63,5,IF(N(I65)&gt;=Indicators!$N$63,4,IF(N(I65)&gt;=Indicators!$M$63,3,IF(N(I65)&gt;=Indicators!$L$63,2,1)))),IF(N(I65)&lt;=Indicators!$O$63,5,IF(N(I65)&lt;=Indicators!$N$63,4,IF(N(I65)&lt;=Indicators!$M$63,3,IF(N(I65)&lt;=Indicators!$L$63,2,1)))))))</f>
        <v>1</v>
      </c>
      <c r="K65" s="35"/>
      <c r="L65" s="37">
        <f>IF(Indicators!$D$63="C0","",IF(K65&lt;&gt;"",K65,IF(J65&lt;&gt;"",J65,"")))</f>
        <v>1</v>
      </c>
      <c r="M65" s="35" t="s">
        <v>162</v>
      </c>
      <c r="N65" s="35">
        <v>2018</v>
      </c>
      <c r="O65" s="37" t="str">
        <f t="shared" si="1"/>
        <v>STALE</v>
      </c>
      <c r="P65" s="35" t="s">
        <v>423</v>
      </c>
      <c r="Q65" s="38" t="s">
        <v>424</v>
      </c>
      <c r="R65" s="35" t="s">
        <v>425</v>
      </c>
    </row>
    <row r="66" spans="2:18" ht="27.75" customHeight="1">
      <c r="B66" s="35" t="s">
        <v>426</v>
      </c>
      <c r="C66" s="36" t="s">
        <v>427</v>
      </c>
      <c r="D66" s="35" t="s">
        <v>77</v>
      </c>
      <c r="E66" s="35" t="s">
        <v>202</v>
      </c>
      <c r="F66" s="35" t="s">
        <v>203</v>
      </c>
      <c r="G66" s="35"/>
      <c r="H66" s="35">
        <v>3</v>
      </c>
      <c r="I66" s="35">
        <v>3.9</v>
      </c>
      <c r="J66" s="37">
        <f>IF(I66="","",IF(Indicators!$H$64&lt;&gt;"Quantitative threshold","",IF(Indicators!$I$64="Higher",IF(N(I66)&gt;=Indicators!$O$64,5,IF(N(I66)&gt;=Indicators!$N$64,4,IF(N(I66)&gt;=Indicators!$M$64,3,IF(N(I66)&gt;=Indicators!$L$64,2,1)))),IF(N(I66)&lt;=Indicators!$O$64,5,IF(N(I66)&lt;=Indicators!$N$64,4,IF(N(I66)&lt;=Indicators!$M$64,3,IF(N(I66)&lt;=Indicators!$L$64,2,1)))))))</f>
        <v>1</v>
      </c>
      <c r="K66" s="35"/>
      <c r="L66" s="37">
        <f>IF(Indicators!$D$64="C0","",IF(K66&lt;&gt;"",K66,IF(J66&lt;&gt;"",J66,"")))</f>
        <v>1</v>
      </c>
      <c r="M66" s="35" t="s">
        <v>162</v>
      </c>
      <c r="N66" s="35">
        <v>2018</v>
      </c>
      <c r="O66" s="37" t="str">
        <f t="shared" si="1"/>
        <v>STALE</v>
      </c>
      <c r="P66" s="35" t="s">
        <v>423</v>
      </c>
      <c r="Q66" s="38" t="s">
        <v>424</v>
      </c>
      <c r="R66" s="35" t="s">
        <v>428</v>
      </c>
    </row>
    <row r="67" spans="2:18" ht="15" customHeight="1">
      <c r="B67" s="35" t="s">
        <v>429</v>
      </c>
      <c r="C67" s="36" t="s">
        <v>430</v>
      </c>
      <c r="D67" s="35" t="s">
        <v>79</v>
      </c>
      <c r="E67" s="35" t="s">
        <v>202</v>
      </c>
      <c r="F67" s="35" t="s">
        <v>203</v>
      </c>
      <c r="G67" s="35"/>
      <c r="H67" s="35">
        <v>3</v>
      </c>
      <c r="I67" s="35">
        <v>23.7</v>
      </c>
      <c r="J67" s="37">
        <f>IF(I67="","",IF(Indicators!$H$65&lt;&gt;"Quantitative threshold","",IF(Indicators!$I$65="Higher",IF(N(I67)&gt;=Indicators!$O$65,5,IF(N(I67)&gt;=Indicators!$N$65,4,IF(N(I67)&gt;=Indicators!$M$65,3,IF(N(I67)&gt;=Indicators!$L$65,2,1)))),IF(N(I67)&lt;=Indicators!$O$65,5,IF(N(I67)&lt;=Indicators!$N$65,4,IF(N(I67)&lt;=Indicators!$M$65,3,IF(N(I67)&lt;=Indicators!$L$65,2,1)))))))</f>
        <v>1</v>
      </c>
      <c r="K67" s="35"/>
      <c r="L67" s="37">
        <f>IF(Indicators!$D$65="C0","",IF(K67&lt;&gt;"",K67,IF(J67&lt;&gt;"",J67,"")))</f>
        <v>1</v>
      </c>
      <c r="M67" s="35" t="s">
        <v>151</v>
      </c>
      <c r="N67" s="35">
        <v>2024</v>
      </c>
      <c r="O67" s="37" t="str">
        <f t="shared" si="1"/>
        <v/>
      </c>
      <c r="P67" s="35" t="s">
        <v>431</v>
      </c>
      <c r="Q67" s="38" t="s">
        <v>432</v>
      </c>
      <c r="R67" s="35" t="s">
        <v>433</v>
      </c>
    </row>
    <row r="68" spans="2:18" ht="15" customHeight="1">
      <c r="B68" s="35" t="s">
        <v>434</v>
      </c>
      <c r="C68" s="36" t="s">
        <v>435</v>
      </c>
      <c r="D68" s="35" t="s">
        <v>79</v>
      </c>
      <c r="E68" s="35" t="s">
        <v>202</v>
      </c>
      <c r="F68" s="35" t="s">
        <v>203</v>
      </c>
      <c r="G68" s="35"/>
      <c r="H68" s="35">
        <v>3</v>
      </c>
      <c r="I68" s="35">
        <v>1.018</v>
      </c>
      <c r="J68" s="37">
        <f>IF(I68="","",IF(Indicators!$H$66&lt;&gt;"Quantitative threshold","",IF(Indicators!$I$66="Higher",IF(N(I68)&gt;=Indicators!$O$66,5,IF(N(I68)&gt;=Indicators!$N$66,4,IF(N(I68)&gt;=Indicators!$M$66,3,IF(N(I68)&gt;=Indicators!$L$66,2,1)))),IF(N(I68)&lt;=Indicators!$O$66,5,IF(N(I68)&lt;=Indicators!$N$66,4,IF(N(I68)&lt;=Indicators!$M$66,3,IF(N(I68)&lt;=Indicators!$L$66,2,1)))))))</f>
        <v>4</v>
      </c>
      <c r="K68" s="35"/>
      <c r="L68" s="37">
        <f>IF(Indicators!$D$66="C0","",IF(K68&lt;&gt;"",K68,IF(J68&lt;&gt;"",J68,"")))</f>
        <v>4</v>
      </c>
      <c r="M68" s="35" t="s">
        <v>151</v>
      </c>
      <c r="N68" s="35">
        <v>2024</v>
      </c>
      <c r="O68" s="37" t="str">
        <f t="shared" si="1"/>
        <v/>
      </c>
      <c r="P68" s="35" t="s">
        <v>436</v>
      </c>
      <c r="Q68" s="38" t="s">
        <v>437</v>
      </c>
      <c r="R68" s="35" t="s">
        <v>438</v>
      </c>
    </row>
    <row r="69" spans="2:18" ht="15" customHeight="1">
      <c r="B69" s="35" t="s">
        <v>439</v>
      </c>
      <c r="C69" s="36" t="s">
        <v>440</v>
      </c>
      <c r="D69" s="35" t="s">
        <v>79</v>
      </c>
      <c r="E69" s="35" t="s">
        <v>202</v>
      </c>
      <c r="F69" s="35" t="s">
        <v>203</v>
      </c>
      <c r="G69" s="35"/>
      <c r="H69" s="35">
        <v>3</v>
      </c>
      <c r="I69" s="35"/>
      <c r="J69" s="37" t="str">
        <f>IF(I69="","",IF(Indicators!$H$67&lt;&gt;"Quantitative threshold","",IF(Indicators!$I$67="Higher",IF(N(I69)&gt;=Indicators!$O$67,5,IF(N(I69)&gt;=Indicators!$N$67,4,IF(N(I69)&gt;=Indicators!$M$67,3,IF(N(I69)&gt;=Indicators!$L$67,2,1)))),IF(N(I69)&lt;=Indicators!$O$67,5,IF(N(I69)&lt;=Indicators!$N$67,4,IF(N(I69)&lt;=Indicators!$M$67,3,IF(N(I69)&lt;=Indicators!$L$67,2,1)))))))</f>
        <v/>
      </c>
      <c r="K69" s="35">
        <v>3</v>
      </c>
      <c r="L69" s="37">
        <f>IF(Indicators!$D$67="C0","",IF(K69&lt;&gt;"",K69,IF(J69&lt;&gt;"",J69,"")))</f>
        <v>3</v>
      </c>
      <c r="M69" s="35" t="s">
        <v>191</v>
      </c>
      <c r="N69" s="35">
        <v>2024</v>
      </c>
      <c r="O69" s="37" t="str">
        <f t="shared" si="1"/>
        <v/>
      </c>
      <c r="P69" s="35" t="s">
        <v>441</v>
      </c>
      <c r="Q69" s="38" t="s">
        <v>442</v>
      </c>
      <c r="R69" s="35" t="s">
        <v>443</v>
      </c>
    </row>
    <row r="70" spans="2:18" ht="15" customHeight="1">
      <c r="B70" s="35" t="s">
        <v>444</v>
      </c>
      <c r="C70" s="36" t="s">
        <v>445</v>
      </c>
      <c r="D70" s="35" t="s">
        <v>79</v>
      </c>
      <c r="E70" s="35" t="s">
        <v>196</v>
      </c>
      <c r="F70" s="35" t="s">
        <v>150</v>
      </c>
      <c r="G70" s="35"/>
      <c r="H70" s="35">
        <v>2</v>
      </c>
      <c r="I70" s="35" t="s">
        <v>446</v>
      </c>
      <c r="J70" s="37" t="str">
        <f>IF(I70="","",IF(Indicators!$H$68&lt;&gt;"Quantitative threshold","",IF(Indicators!$I$68="Higher",IF(N(I70)&gt;=Indicators!$O$68,5,IF(N(I70)&gt;=Indicators!$N$68,4,IF(N(I70)&gt;=Indicators!$M$68,3,IF(N(I70)&gt;=Indicators!$L$68,2,1)))),IF(N(I70)&lt;=Indicators!$O$68,5,IF(N(I70)&lt;=Indicators!$N$68,4,IF(N(I70)&lt;=Indicators!$M$68,3,IF(N(I70)&lt;=Indicators!$L$68,2,1)))))))</f>
        <v/>
      </c>
      <c r="K70" s="35">
        <v>3</v>
      </c>
      <c r="L70" s="37">
        <f>IF(Indicators!$D$68="C0","",IF(K70&lt;&gt;"",K70,IF(J70&lt;&gt;"",J70,"")))</f>
        <v>3</v>
      </c>
      <c r="M70" s="35" t="s">
        <v>162</v>
      </c>
      <c r="N70" s="35">
        <v>2026</v>
      </c>
      <c r="O70" s="37" t="str">
        <f t="shared" si="1"/>
        <v/>
      </c>
      <c r="P70" s="35" t="s">
        <v>447</v>
      </c>
      <c r="Q70" s="38" t="s">
        <v>448</v>
      </c>
      <c r="R70" s="35" t="s">
        <v>449</v>
      </c>
    </row>
    <row r="71" spans="2:18" ht="15" customHeight="1">
      <c r="B71" s="35" t="s">
        <v>450</v>
      </c>
      <c r="C71" s="36" t="s">
        <v>451</v>
      </c>
      <c r="D71" s="35" t="s">
        <v>79</v>
      </c>
      <c r="E71" s="35" t="s">
        <v>196</v>
      </c>
      <c r="F71" s="35" t="s">
        <v>150</v>
      </c>
      <c r="G71" s="35"/>
      <c r="H71" s="35">
        <v>2</v>
      </c>
      <c r="I71" s="35" t="s">
        <v>452</v>
      </c>
      <c r="J71" s="37" t="str">
        <f>IF(I71="","",IF(Indicators!$H$69&lt;&gt;"Quantitative threshold","",IF(Indicators!$I$69="Higher",IF(N(I71)&gt;=Indicators!$O$69,5,IF(N(I71)&gt;=Indicators!$N$69,4,IF(N(I71)&gt;=Indicators!$M$69,3,IF(N(I71)&gt;=Indicators!$L$69,2,1)))),IF(N(I71)&lt;=Indicators!$O$69,5,IF(N(I71)&lt;=Indicators!$N$69,4,IF(N(I71)&lt;=Indicators!$M$69,3,IF(N(I71)&lt;=Indicators!$L$69,2,1)))))))</f>
        <v/>
      </c>
      <c r="K71" s="35"/>
      <c r="L71" s="37" t="str">
        <f>IF(Indicators!$D$69="C0","",IF(K71&lt;&gt;"",K71,IF(J71&lt;&gt;"",J71,"")))</f>
        <v/>
      </c>
      <c r="M71" s="35" t="s">
        <v>191</v>
      </c>
      <c r="N71" s="35">
        <v>2025</v>
      </c>
      <c r="O71" s="37" t="str">
        <f t="shared" si="1"/>
        <v/>
      </c>
      <c r="P71" s="35" t="s">
        <v>453</v>
      </c>
      <c r="Q71" s="38" t="s">
        <v>454</v>
      </c>
      <c r="R71" s="35" t="s">
        <v>455</v>
      </c>
    </row>
    <row r="72" spans="2:18" ht="15" customHeight="1">
      <c r="B72" s="35" t="s">
        <v>456</v>
      </c>
      <c r="C72" s="36" t="s">
        <v>457</v>
      </c>
      <c r="D72" s="35" t="s">
        <v>79</v>
      </c>
      <c r="E72" s="35" t="s">
        <v>196</v>
      </c>
      <c r="F72" s="35" t="s">
        <v>150</v>
      </c>
      <c r="G72" s="35"/>
      <c r="H72" s="35">
        <v>2</v>
      </c>
      <c r="I72" s="35"/>
      <c r="J72" s="37" t="str">
        <f>IF(I72="","",IF(Indicators!$H$70&lt;&gt;"Quantitative threshold","",IF(Indicators!$I$70="Higher",IF(N(I72)&gt;=Indicators!$O$70,5,IF(N(I72)&gt;=Indicators!$N$70,4,IF(N(I72)&gt;=Indicators!$M$70,3,IF(N(I72)&gt;=Indicators!$L$70,2,1)))),IF(N(I72)&lt;=Indicators!$O$70,5,IF(N(I72)&lt;=Indicators!$N$70,4,IF(N(I72)&lt;=Indicators!$M$70,3,IF(N(I72)&lt;=Indicators!$L$70,2,1)))))))</f>
        <v/>
      </c>
      <c r="K72" s="35">
        <v>4</v>
      </c>
      <c r="L72" s="37">
        <f>IF(Indicators!$D$70="C0","",IF(K72&lt;&gt;"",K72,IF(J72&lt;&gt;"",J72,"")))</f>
        <v>4</v>
      </c>
      <c r="M72" s="35" t="s">
        <v>151</v>
      </c>
      <c r="N72" s="35">
        <v>2025</v>
      </c>
      <c r="O72" s="37" t="str">
        <f t="shared" ref="O72:O103" si="2">IF(N72="","",IF(N72&lt;($L$5-H72),"STALE",""))</f>
        <v/>
      </c>
      <c r="P72" s="35" t="s">
        <v>458</v>
      </c>
      <c r="Q72" s="38" t="s">
        <v>459</v>
      </c>
      <c r="R72" s="35" t="s">
        <v>460</v>
      </c>
    </row>
    <row r="73" spans="2:18" ht="15" customHeight="1">
      <c r="B73" s="35" t="s">
        <v>461</v>
      </c>
      <c r="C73" s="36" t="s">
        <v>462</v>
      </c>
      <c r="D73" s="35" t="s">
        <v>79</v>
      </c>
      <c r="E73" s="35" t="s">
        <v>202</v>
      </c>
      <c r="F73" s="35" t="s">
        <v>203</v>
      </c>
      <c r="G73" s="35"/>
      <c r="H73" s="35">
        <v>2</v>
      </c>
      <c r="I73" s="35"/>
      <c r="J73" s="37" t="str">
        <f>IF(I73="","",IF(Indicators!$H$71&lt;&gt;"Quantitative threshold","",IF(Indicators!$I$71="Higher",IF(N(I73)&gt;=Indicators!$O$71,5,IF(N(I73)&gt;=Indicators!$N$71,4,IF(N(I73)&gt;=Indicators!$M$71,3,IF(N(I73)&gt;=Indicators!$L$71,2,1)))),IF(N(I73)&lt;=Indicators!$O$71,5,IF(N(I73)&lt;=Indicators!$N$71,4,IF(N(I73)&lt;=Indicators!$M$71,3,IF(N(I73)&lt;=Indicators!$L$71,2,1)))))))</f>
        <v/>
      </c>
      <c r="K73" s="35">
        <v>2</v>
      </c>
      <c r="L73" s="37">
        <f>IF(Indicators!$D$71="C0","",IF(K73&lt;&gt;"",K73,IF(J73&lt;&gt;"",J73,"")))</f>
        <v>2</v>
      </c>
      <c r="M73" s="35" t="s">
        <v>191</v>
      </c>
      <c r="N73" s="35">
        <v>2025</v>
      </c>
      <c r="O73" s="37" t="str">
        <f t="shared" si="2"/>
        <v/>
      </c>
      <c r="P73" s="35" t="s">
        <v>463</v>
      </c>
      <c r="Q73" s="35"/>
      <c r="R73" s="35" t="s">
        <v>464</v>
      </c>
    </row>
    <row r="74" spans="2:18" ht="15" customHeight="1">
      <c r="B74" s="35" t="s">
        <v>465</v>
      </c>
      <c r="C74" s="36" t="s">
        <v>466</v>
      </c>
      <c r="D74" s="35" t="s">
        <v>79</v>
      </c>
      <c r="E74" s="35" t="s">
        <v>196</v>
      </c>
      <c r="F74" s="35" t="s">
        <v>150</v>
      </c>
      <c r="G74" s="35"/>
      <c r="H74" s="35">
        <v>2</v>
      </c>
      <c r="I74" s="35"/>
      <c r="J74" s="37" t="str">
        <f>IF(I74="","",IF(Indicators!$H$72&lt;&gt;"Quantitative threshold","",IF(Indicators!$I$72="Higher",IF(N(I74)&gt;=Indicators!$O$72,5,IF(N(I74)&gt;=Indicators!$N$72,4,IF(N(I74)&gt;=Indicators!$M$72,3,IF(N(I74)&gt;=Indicators!$L$72,2,1)))),IF(N(I74)&lt;=Indicators!$O$72,5,IF(N(I74)&lt;=Indicators!$N$72,4,IF(N(I74)&lt;=Indicators!$M$72,3,IF(N(I74)&lt;=Indicators!$L$72,2,1)))))))</f>
        <v/>
      </c>
      <c r="K74" s="35">
        <v>3</v>
      </c>
      <c r="L74" s="37">
        <f>IF(Indicators!$D$72="C0","",IF(K74&lt;&gt;"",K74,IF(J74&lt;&gt;"",J74,"")))</f>
        <v>3</v>
      </c>
      <c r="M74" s="35" t="s">
        <v>162</v>
      </c>
      <c r="N74" s="35">
        <v>2023</v>
      </c>
      <c r="O74" s="37" t="str">
        <f t="shared" si="2"/>
        <v/>
      </c>
      <c r="P74" s="35" t="s">
        <v>467</v>
      </c>
      <c r="Q74" s="38" t="s">
        <v>468</v>
      </c>
      <c r="R74" s="35" t="s">
        <v>469</v>
      </c>
    </row>
    <row r="75" spans="2:18" ht="15" customHeight="1">
      <c r="B75" s="35" t="s">
        <v>470</v>
      </c>
      <c r="C75" s="36" t="s">
        <v>471</v>
      </c>
      <c r="D75" s="35" t="s">
        <v>79</v>
      </c>
      <c r="E75" s="35" t="s">
        <v>196</v>
      </c>
      <c r="F75" s="35" t="s">
        <v>150</v>
      </c>
      <c r="G75" s="35"/>
      <c r="H75" s="35">
        <v>2</v>
      </c>
      <c r="I75" s="35"/>
      <c r="J75" s="37" t="str">
        <f>IF(I75="","",IF(Indicators!$H$73&lt;&gt;"Quantitative threshold","",IF(Indicators!$I$73="Higher",IF(N(I75)&gt;=Indicators!$O$73,5,IF(N(I75)&gt;=Indicators!$N$73,4,IF(N(I75)&gt;=Indicators!$M$73,3,IF(N(I75)&gt;=Indicators!$L$73,2,1)))),IF(N(I75)&lt;=Indicators!$O$73,5,IF(N(I75)&lt;=Indicators!$N$73,4,IF(N(I75)&lt;=Indicators!$M$73,3,IF(N(I75)&lt;=Indicators!$L$73,2,1)))))))</f>
        <v/>
      </c>
      <c r="K75" s="35">
        <v>4</v>
      </c>
      <c r="L75" s="37">
        <f>IF(Indicators!$D$73="C0","",IF(K75&lt;&gt;"",K75,IF(J75&lt;&gt;"",J75,"")))</f>
        <v>4</v>
      </c>
      <c r="M75" s="35" t="s">
        <v>162</v>
      </c>
      <c r="N75" s="35">
        <v>2021</v>
      </c>
      <c r="O75" s="37" t="str">
        <f t="shared" si="2"/>
        <v>STALE</v>
      </c>
      <c r="P75" s="35" t="s">
        <v>472</v>
      </c>
      <c r="Q75" s="38" t="s">
        <v>473</v>
      </c>
      <c r="R75" s="35" t="s">
        <v>474</v>
      </c>
    </row>
    <row r="76" spans="2:18" ht="27.75" customHeight="1">
      <c r="B76" s="35" t="s">
        <v>475</v>
      </c>
      <c r="C76" s="36" t="s">
        <v>476</v>
      </c>
      <c r="D76" s="35" t="s">
        <v>79</v>
      </c>
      <c r="E76" s="35" t="s">
        <v>196</v>
      </c>
      <c r="F76" s="35" t="s">
        <v>150</v>
      </c>
      <c r="G76" s="35"/>
      <c r="H76" s="35">
        <v>2</v>
      </c>
      <c r="I76" s="35"/>
      <c r="J76" s="37" t="str">
        <f>IF(I76="","",IF(Indicators!$H$74&lt;&gt;"Quantitative threshold","",IF(Indicators!$I$74="Higher",IF(N(I76)&gt;=Indicators!$O$74,5,IF(N(I76)&gt;=Indicators!$N$74,4,IF(N(I76)&gt;=Indicators!$M$74,3,IF(N(I76)&gt;=Indicators!$L$74,2,1)))),IF(N(I76)&lt;=Indicators!$O$74,5,IF(N(I76)&lt;=Indicators!$N$74,4,IF(N(I76)&lt;=Indicators!$M$74,3,IF(N(I76)&lt;=Indicators!$L$74,2,1)))))))</f>
        <v/>
      </c>
      <c r="K76" s="35">
        <v>2</v>
      </c>
      <c r="L76" s="37">
        <f>IF(Indicators!$D$74="C0","",IF(K76&lt;&gt;"",K76,IF(J76&lt;&gt;"",J76,"")))</f>
        <v>2</v>
      </c>
      <c r="M76" s="35" t="s">
        <v>191</v>
      </c>
      <c r="N76" s="35">
        <v>2025</v>
      </c>
      <c r="O76" s="37" t="str">
        <f t="shared" si="2"/>
        <v/>
      </c>
      <c r="P76" s="35" t="s">
        <v>477</v>
      </c>
      <c r="Q76" s="38" t="s">
        <v>478</v>
      </c>
      <c r="R76" s="35" t="s">
        <v>479</v>
      </c>
    </row>
    <row r="77" spans="2:18" ht="15" customHeight="1">
      <c r="B77" s="35" t="s">
        <v>480</v>
      </c>
      <c r="C77" s="36" t="s">
        <v>481</v>
      </c>
      <c r="D77" s="35" t="s">
        <v>79</v>
      </c>
      <c r="E77" s="35" t="s">
        <v>196</v>
      </c>
      <c r="F77" s="35" t="s">
        <v>150</v>
      </c>
      <c r="G77" s="35"/>
      <c r="H77" s="35">
        <v>2</v>
      </c>
      <c r="I77" s="35"/>
      <c r="J77" s="37" t="str">
        <f>IF(I77="","",IF(Indicators!$H$75&lt;&gt;"Quantitative threshold","",IF(Indicators!$I$75="Higher",IF(N(I77)&gt;=Indicators!$O$75,5,IF(N(I77)&gt;=Indicators!$N$75,4,IF(N(I77)&gt;=Indicators!$M$75,3,IF(N(I77)&gt;=Indicators!$L$75,2,1)))),IF(N(I77)&lt;=Indicators!$O$75,5,IF(N(I77)&lt;=Indicators!$N$75,4,IF(N(I77)&lt;=Indicators!$M$75,3,IF(N(I77)&lt;=Indicators!$L$75,2,1)))))))</f>
        <v/>
      </c>
      <c r="K77" s="35">
        <v>4</v>
      </c>
      <c r="L77" s="37">
        <f>IF(Indicators!$D$75="C0","",IF(K77&lt;&gt;"",K77,IF(J77&lt;&gt;"",J77,"")))</f>
        <v>4</v>
      </c>
      <c r="M77" s="35" t="s">
        <v>151</v>
      </c>
      <c r="N77" s="35">
        <v>2025</v>
      </c>
      <c r="O77" s="37" t="str">
        <f t="shared" si="2"/>
        <v/>
      </c>
      <c r="P77" s="35" t="s">
        <v>482</v>
      </c>
      <c r="Q77" s="38" t="s">
        <v>483</v>
      </c>
      <c r="R77" s="35" t="s">
        <v>484</v>
      </c>
    </row>
    <row r="78" spans="2:18" ht="15" customHeight="1">
      <c r="B78" s="35" t="s">
        <v>485</v>
      </c>
      <c r="C78" s="36" t="s">
        <v>486</v>
      </c>
      <c r="D78" s="35" t="s">
        <v>79</v>
      </c>
      <c r="E78" s="35" t="s">
        <v>196</v>
      </c>
      <c r="F78" s="35" t="s">
        <v>150</v>
      </c>
      <c r="G78" s="35"/>
      <c r="H78" s="35">
        <v>2</v>
      </c>
      <c r="I78" s="35"/>
      <c r="J78" s="37" t="str">
        <f>IF(I78="","",IF(Indicators!$H$76&lt;&gt;"Quantitative threshold","",IF(Indicators!$I$76="Higher",IF(N(I78)&gt;=Indicators!$O$76,5,IF(N(I78)&gt;=Indicators!$N$76,4,IF(N(I78)&gt;=Indicators!$M$76,3,IF(N(I78)&gt;=Indicators!$L$76,2,1)))),IF(N(I78)&lt;=Indicators!$O$76,5,IF(N(I78)&lt;=Indicators!$N$76,4,IF(N(I78)&lt;=Indicators!$M$76,3,IF(N(I78)&lt;=Indicators!$L$76,2,1)))))))</f>
        <v/>
      </c>
      <c r="K78" s="35">
        <v>3</v>
      </c>
      <c r="L78" s="37">
        <f>IF(Indicators!$D$76="C0","",IF(K78&lt;&gt;"",K78,IF(J78&lt;&gt;"",J78,"")))</f>
        <v>3</v>
      </c>
      <c r="M78" s="35" t="s">
        <v>162</v>
      </c>
      <c r="N78" s="35">
        <v>2025</v>
      </c>
      <c r="O78" s="37" t="str">
        <f t="shared" si="2"/>
        <v/>
      </c>
      <c r="P78" s="35" t="s">
        <v>487</v>
      </c>
      <c r="Q78" s="38" t="s">
        <v>488</v>
      </c>
      <c r="R78" s="35" t="s">
        <v>489</v>
      </c>
    </row>
    <row r="79" spans="2:18" ht="15" customHeight="1">
      <c r="B79" s="35" t="s">
        <v>490</v>
      </c>
      <c r="C79" s="36" t="s">
        <v>491</v>
      </c>
      <c r="D79" s="35" t="s">
        <v>79</v>
      </c>
      <c r="E79" s="35" t="s">
        <v>202</v>
      </c>
      <c r="F79" s="35" t="s">
        <v>203</v>
      </c>
      <c r="G79" s="35"/>
      <c r="H79" s="35">
        <v>2</v>
      </c>
      <c r="I79" s="35"/>
      <c r="J79" s="37" t="str">
        <f>IF(I79="","",IF(Indicators!$H$77&lt;&gt;"Quantitative threshold","",IF(Indicators!$I$77="Higher",IF(N(I79)&gt;=Indicators!$O$77,5,IF(N(I79)&gt;=Indicators!$N$77,4,IF(N(I79)&gt;=Indicators!$M$77,3,IF(N(I79)&gt;=Indicators!$L$77,2,1)))),IF(N(I79)&lt;=Indicators!$O$77,5,IF(N(I79)&lt;=Indicators!$N$77,4,IF(N(I79)&lt;=Indicators!$M$77,3,IF(N(I79)&lt;=Indicators!$L$77,2,1)))))))</f>
        <v/>
      </c>
      <c r="K79" s="35">
        <v>2</v>
      </c>
      <c r="L79" s="37">
        <f>IF(Indicators!$D$77="C0","",IF(K79&lt;&gt;"",K79,IF(J79&lt;&gt;"",J79,"")))</f>
        <v>2</v>
      </c>
      <c r="M79" s="35" t="s">
        <v>191</v>
      </c>
      <c r="N79" s="35">
        <v>2025</v>
      </c>
      <c r="O79" s="37" t="str">
        <f t="shared" si="2"/>
        <v/>
      </c>
      <c r="P79" s="35" t="s">
        <v>492</v>
      </c>
      <c r="Q79" s="35"/>
      <c r="R79" s="35" t="s">
        <v>493</v>
      </c>
    </row>
    <row r="80" spans="2:18" ht="27.75" customHeight="1">
      <c r="B80" s="39" t="s">
        <v>494</v>
      </c>
      <c r="C80" s="36" t="s">
        <v>495</v>
      </c>
      <c r="D80" s="35" t="s">
        <v>79</v>
      </c>
      <c r="E80" s="35" t="s">
        <v>196</v>
      </c>
      <c r="F80" s="35" t="s">
        <v>150</v>
      </c>
      <c r="G80" s="39" t="s">
        <v>204</v>
      </c>
      <c r="H80" s="35">
        <v>2</v>
      </c>
      <c r="I80" s="35"/>
      <c r="J80" s="37" t="str">
        <f>IF(I80="","",IF(Indicators!$H$78&lt;&gt;"Quantitative threshold","",IF(Indicators!$I$78="Higher",IF(N(I80)&gt;=Indicators!$O$78,5,IF(N(I80)&gt;=Indicators!$N$78,4,IF(N(I80)&gt;=Indicators!$M$78,3,IF(N(I80)&gt;=Indicators!$L$78,2,1)))),IF(N(I80)&lt;=Indicators!$O$78,5,IF(N(I80)&lt;=Indicators!$N$78,4,IF(N(I80)&lt;=Indicators!$M$78,3,IF(N(I80)&lt;=Indicators!$L$78,2,1)))))))</f>
        <v/>
      </c>
      <c r="K80" s="35">
        <v>4</v>
      </c>
      <c r="L80" s="37">
        <f>IF(Indicators!$D$78="C0","",IF(K80&lt;&gt;"",K80,IF(J80&lt;&gt;"",J80,"")))</f>
        <v>4</v>
      </c>
      <c r="M80" s="35" t="s">
        <v>151</v>
      </c>
      <c r="N80" s="35">
        <v>2025</v>
      </c>
      <c r="O80" s="37" t="str">
        <f t="shared" si="2"/>
        <v/>
      </c>
      <c r="P80" s="35" t="s">
        <v>496</v>
      </c>
      <c r="Q80" s="38" t="s">
        <v>497</v>
      </c>
      <c r="R80" s="35" t="s">
        <v>498</v>
      </c>
    </row>
    <row r="81" spans="2:18" ht="27.75" customHeight="1">
      <c r="B81" s="35" t="s">
        <v>499</v>
      </c>
      <c r="C81" s="36" t="s">
        <v>500</v>
      </c>
      <c r="D81" s="35" t="s">
        <v>82</v>
      </c>
      <c r="E81" s="35" t="s">
        <v>202</v>
      </c>
      <c r="F81" s="35" t="s">
        <v>203</v>
      </c>
      <c r="G81" s="35"/>
      <c r="H81" s="35">
        <v>3</v>
      </c>
      <c r="I81" s="35">
        <v>1.2</v>
      </c>
      <c r="J81" s="37">
        <f>IF(I81="","",IF(Indicators!$H$79&lt;&gt;"Quantitative threshold","",IF(Indicators!$I$79="Higher",IF(N(I81)&gt;=Indicators!$O$79,5,IF(N(I81)&gt;=Indicators!$N$79,4,IF(N(I81)&gt;=Indicators!$M$79,3,IF(N(I81)&gt;=Indicators!$L$79,2,1)))),IF(N(I81)&lt;=Indicators!$O$79,5,IF(N(I81)&lt;=Indicators!$N$79,4,IF(N(I81)&lt;=Indicators!$M$79,3,IF(N(I81)&lt;=Indicators!$L$79,2,1)))))))</f>
        <v>2</v>
      </c>
      <c r="K81" s="35"/>
      <c r="L81" s="37">
        <f>IF(Indicators!$D$79="C0","",IF(K81&lt;&gt;"",K81,IF(J81&lt;&gt;"",J81,"")))</f>
        <v>2</v>
      </c>
      <c r="M81" s="35" t="s">
        <v>162</v>
      </c>
      <c r="N81" s="35">
        <v>2023</v>
      </c>
      <c r="O81" s="37" t="str">
        <f t="shared" si="2"/>
        <v/>
      </c>
      <c r="P81" s="35" t="s">
        <v>501</v>
      </c>
      <c r="Q81" s="38" t="s">
        <v>502</v>
      </c>
      <c r="R81" s="35" t="s">
        <v>503</v>
      </c>
    </row>
    <row r="82" spans="2:18" ht="15" customHeight="1">
      <c r="B82" s="35" t="s">
        <v>504</v>
      </c>
      <c r="C82" s="36" t="s">
        <v>505</v>
      </c>
      <c r="D82" s="35" t="s">
        <v>82</v>
      </c>
      <c r="E82" s="35" t="s">
        <v>196</v>
      </c>
      <c r="F82" s="35" t="s">
        <v>150</v>
      </c>
      <c r="G82" s="35"/>
      <c r="H82" s="35">
        <v>2</v>
      </c>
      <c r="I82" s="35"/>
      <c r="J82" s="37" t="str">
        <f>IF(I82="","",IF(Indicators!$H$80&lt;&gt;"Quantitative threshold","",IF(Indicators!$I$80="Higher",IF(N(I82)&gt;=Indicators!$O$80,5,IF(N(I82)&gt;=Indicators!$N$80,4,IF(N(I82)&gt;=Indicators!$M$80,3,IF(N(I82)&gt;=Indicators!$L$80,2,1)))),IF(N(I82)&lt;=Indicators!$O$80,5,IF(N(I82)&lt;=Indicators!$N$80,4,IF(N(I82)&lt;=Indicators!$M$80,3,IF(N(I82)&lt;=Indicators!$L$80,2,1)))))))</f>
        <v/>
      </c>
      <c r="K82" s="35">
        <v>4</v>
      </c>
      <c r="L82" s="37">
        <f>IF(Indicators!$D$80="C0","",IF(K82&lt;&gt;"",K82,IF(J82&lt;&gt;"",J82,"")))</f>
        <v>4</v>
      </c>
      <c r="M82" s="35" t="s">
        <v>162</v>
      </c>
      <c r="N82" s="35">
        <v>2025</v>
      </c>
      <c r="O82" s="37" t="str">
        <f t="shared" si="2"/>
        <v/>
      </c>
      <c r="P82" s="35" t="s">
        <v>506</v>
      </c>
      <c r="Q82" s="38" t="s">
        <v>507</v>
      </c>
      <c r="R82" s="35" t="s">
        <v>508</v>
      </c>
    </row>
    <row r="83" spans="2:18" ht="15" customHeight="1">
      <c r="B83" s="35" t="s">
        <v>509</v>
      </c>
      <c r="C83" s="36" t="s">
        <v>510</v>
      </c>
      <c r="D83" s="35" t="s">
        <v>82</v>
      </c>
      <c r="E83" s="35" t="s">
        <v>202</v>
      </c>
      <c r="F83" s="35" t="s">
        <v>203</v>
      </c>
      <c r="G83" s="35"/>
      <c r="H83" s="35">
        <v>2</v>
      </c>
      <c r="I83" s="35" t="s">
        <v>511</v>
      </c>
      <c r="J83" s="37">
        <f>IF(I83="","",IF(Indicators!$H$81&lt;&gt;"Quantitative threshold","",IF(Indicators!$I$81="Higher",IF(N(I83)&gt;=Indicators!$O$81,5,IF(N(I83)&gt;=Indicators!$N$81,4,IF(N(I83)&gt;=Indicators!$M$81,3,IF(N(I83)&gt;=Indicators!$L$81,2,1)))),IF(N(I83)&lt;=Indicators!$O$81,5,IF(N(I83)&lt;=Indicators!$N$81,4,IF(N(I83)&lt;=Indicators!$M$81,3,IF(N(I83)&lt;=Indicators!$L$81,2,1)))))))</f>
        <v>1</v>
      </c>
      <c r="K83" s="35"/>
      <c r="L83" s="37">
        <f>IF(Indicators!$D$81="C0","",IF(K83&lt;&gt;"",K83,IF(J83&lt;&gt;"",J83,"")))</f>
        <v>1</v>
      </c>
      <c r="M83" s="35" t="s">
        <v>191</v>
      </c>
      <c r="N83" s="35">
        <v>2022</v>
      </c>
      <c r="O83" s="37" t="str">
        <f t="shared" si="2"/>
        <v>STALE</v>
      </c>
      <c r="P83" s="35" t="s">
        <v>512</v>
      </c>
      <c r="Q83" s="38" t="s">
        <v>513</v>
      </c>
      <c r="R83" s="35" t="s">
        <v>514</v>
      </c>
    </row>
    <row r="84" spans="2:18" ht="15" customHeight="1">
      <c r="B84" s="35" t="s">
        <v>515</v>
      </c>
      <c r="C84" s="36" t="s">
        <v>516</v>
      </c>
      <c r="D84" s="35" t="s">
        <v>82</v>
      </c>
      <c r="E84" s="35" t="s">
        <v>202</v>
      </c>
      <c r="F84" s="35" t="s">
        <v>203</v>
      </c>
      <c r="G84" s="35"/>
      <c r="H84" s="35">
        <v>2</v>
      </c>
      <c r="I84" s="35"/>
      <c r="J84" s="37" t="str">
        <f>IF(I84="","",IF(Indicators!$H$82&lt;&gt;"Quantitative threshold","",IF(Indicators!$I$82="Higher",IF(N(I84)&gt;=Indicators!$O$82,5,IF(N(I84)&gt;=Indicators!$N$82,4,IF(N(I84)&gt;=Indicators!$M$82,3,IF(N(I84)&gt;=Indicators!$L$82,2,1)))),IF(N(I84)&lt;=Indicators!$O$82,5,IF(N(I84)&lt;=Indicators!$N$82,4,IF(N(I84)&lt;=Indicators!$M$82,3,IF(N(I84)&lt;=Indicators!$L$82,2,1)))))))</f>
        <v/>
      </c>
      <c r="K84" s="35">
        <v>4</v>
      </c>
      <c r="L84" s="37">
        <f>IF(Indicators!$D$82="C0","",IF(K84&lt;&gt;"",K84,IF(J84&lt;&gt;"",J84,"")))</f>
        <v>4</v>
      </c>
      <c r="M84" s="35" t="s">
        <v>151</v>
      </c>
      <c r="N84" s="35">
        <v>2025</v>
      </c>
      <c r="O84" s="37" t="str">
        <f t="shared" si="2"/>
        <v/>
      </c>
      <c r="P84" s="35" t="s">
        <v>517</v>
      </c>
      <c r="Q84" s="38" t="s">
        <v>198</v>
      </c>
      <c r="R84" s="35" t="s">
        <v>518</v>
      </c>
    </row>
    <row r="85" spans="2:18" ht="15" customHeight="1">
      <c r="B85" s="35" t="s">
        <v>519</v>
      </c>
      <c r="C85" s="36" t="s">
        <v>520</v>
      </c>
      <c r="D85" s="35" t="s">
        <v>82</v>
      </c>
      <c r="E85" s="35" t="s">
        <v>202</v>
      </c>
      <c r="F85" s="35" t="s">
        <v>203</v>
      </c>
      <c r="G85" s="35"/>
      <c r="H85" s="35">
        <v>2</v>
      </c>
      <c r="I85" s="35"/>
      <c r="J85" s="37" t="str">
        <f>IF(I85="","",IF(Indicators!$H$83&lt;&gt;"Quantitative threshold","",IF(Indicators!$I$83="Higher",IF(N(I85)&gt;=Indicators!$O$83,5,IF(N(I85)&gt;=Indicators!$N$83,4,IF(N(I85)&gt;=Indicators!$M$83,3,IF(N(I85)&gt;=Indicators!$L$83,2,1)))),IF(N(I85)&lt;=Indicators!$O$83,5,IF(N(I85)&lt;=Indicators!$N$83,4,IF(N(I85)&lt;=Indicators!$M$83,3,IF(N(I85)&lt;=Indicators!$L$83,2,1)))))))</f>
        <v/>
      </c>
      <c r="K85" s="35">
        <v>4</v>
      </c>
      <c r="L85" s="37">
        <f>IF(Indicators!$D$83="C0","",IF(K85&lt;&gt;"",K85,IF(J85&lt;&gt;"",J85,"")))</f>
        <v>4</v>
      </c>
      <c r="M85" s="35" t="s">
        <v>162</v>
      </c>
      <c r="N85" s="35">
        <v>2025</v>
      </c>
      <c r="O85" s="37" t="str">
        <f t="shared" si="2"/>
        <v/>
      </c>
      <c r="P85" s="35" t="s">
        <v>521</v>
      </c>
      <c r="Q85" s="38" t="s">
        <v>454</v>
      </c>
      <c r="R85" s="35" t="s">
        <v>522</v>
      </c>
    </row>
    <row r="86" spans="2:18" ht="15" customHeight="1">
      <c r="B86" s="35" t="s">
        <v>523</v>
      </c>
      <c r="C86" s="36" t="s">
        <v>524</v>
      </c>
      <c r="D86" s="35" t="s">
        <v>82</v>
      </c>
      <c r="E86" s="35" t="s">
        <v>202</v>
      </c>
      <c r="F86" s="35" t="s">
        <v>203</v>
      </c>
      <c r="G86" s="35"/>
      <c r="H86" s="35">
        <v>2</v>
      </c>
      <c r="I86" s="35"/>
      <c r="J86" s="37" t="str">
        <f>IF(I86="","",IF(Indicators!$H$84&lt;&gt;"Quantitative threshold","",IF(Indicators!$I$84="Higher",IF(N(I86)&gt;=Indicators!$O$84,5,IF(N(I86)&gt;=Indicators!$N$84,4,IF(N(I86)&gt;=Indicators!$M$84,3,IF(N(I86)&gt;=Indicators!$L$84,2,1)))),IF(N(I86)&lt;=Indicators!$O$84,5,IF(N(I86)&lt;=Indicators!$N$84,4,IF(N(I86)&lt;=Indicators!$M$84,3,IF(N(I86)&lt;=Indicators!$L$84,2,1)))))))</f>
        <v/>
      </c>
      <c r="K86" s="35">
        <v>2</v>
      </c>
      <c r="L86" s="37">
        <f>IF(Indicators!$D$84="C0","",IF(K86&lt;&gt;"",K86,IF(J86&lt;&gt;"",J86,"")))</f>
        <v>2</v>
      </c>
      <c r="M86" s="35" t="s">
        <v>191</v>
      </c>
      <c r="N86" s="35">
        <v>2025</v>
      </c>
      <c r="O86" s="37" t="str">
        <f t="shared" si="2"/>
        <v/>
      </c>
      <c r="P86" s="35" t="s">
        <v>275</v>
      </c>
      <c r="Q86" s="35"/>
      <c r="R86" s="35" t="s">
        <v>525</v>
      </c>
    </row>
    <row r="87" spans="2:18" ht="27.75" customHeight="1">
      <c r="B87" s="35" t="s">
        <v>526</v>
      </c>
      <c r="C87" s="36" t="s">
        <v>527</v>
      </c>
      <c r="D87" s="35" t="s">
        <v>82</v>
      </c>
      <c r="E87" s="35" t="s">
        <v>202</v>
      </c>
      <c r="F87" s="35" t="s">
        <v>203</v>
      </c>
      <c r="G87" s="35"/>
      <c r="H87" s="35">
        <v>2</v>
      </c>
      <c r="I87" s="35"/>
      <c r="J87" s="37" t="str">
        <f>IF(I87="","",IF(Indicators!$H$85&lt;&gt;"Quantitative threshold","",IF(Indicators!$I$85="Higher",IF(N(I87)&gt;=Indicators!$O$85,5,IF(N(I87)&gt;=Indicators!$N$85,4,IF(N(I87)&gt;=Indicators!$M$85,3,IF(N(I87)&gt;=Indicators!$L$85,2,1)))),IF(N(I87)&lt;=Indicators!$O$85,5,IF(N(I87)&lt;=Indicators!$N$85,4,IF(N(I87)&lt;=Indicators!$M$85,3,IF(N(I87)&lt;=Indicators!$L$85,2,1)))))))</f>
        <v/>
      </c>
      <c r="K87" s="35">
        <v>3</v>
      </c>
      <c r="L87" s="37">
        <f>IF(Indicators!$D$85="C0","",IF(K87&lt;&gt;"",K87,IF(J87&lt;&gt;"",J87,"")))</f>
        <v>3</v>
      </c>
      <c r="M87" s="35" t="s">
        <v>162</v>
      </c>
      <c r="N87" s="35">
        <v>2025</v>
      </c>
      <c r="O87" s="37" t="str">
        <f t="shared" si="2"/>
        <v/>
      </c>
      <c r="P87" s="35" t="s">
        <v>528</v>
      </c>
      <c r="Q87" s="38" t="s">
        <v>280</v>
      </c>
      <c r="R87" s="35" t="s">
        <v>529</v>
      </c>
    </row>
    <row r="88" spans="2:18" ht="15" customHeight="1">
      <c r="B88" s="35" t="s">
        <v>530</v>
      </c>
      <c r="C88" s="36" t="s">
        <v>531</v>
      </c>
      <c r="D88" s="35" t="s">
        <v>82</v>
      </c>
      <c r="E88" s="35" t="s">
        <v>196</v>
      </c>
      <c r="F88" s="35" t="s">
        <v>150</v>
      </c>
      <c r="G88" s="35"/>
      <c r="H88" s="35">
        <v>2</v>
      </c>
      <c r="I88" s="35"/>
      <c r="J88" s="37" t="str">
        <f>IF(I88="","",IF(Indicators!$H$86&lt;&gt;"Quantitative threshold","",IF(Indicators!$I$86="Higher",IF(N(I88)&gt;=Indicators!$O$86,5,IF(N(I88)&gt;=Indicators!$N$86,4,IF(N(I88)&gt;=Indicators!$M$86,3,IF(N(I88)&gt;=Indicators!$L$86,2,1)))),IF(N(I88)&lt;=Indicators!$O$86,5,IF(N(I88)&lt;=Indicators!$N$86,4,IF(N(I88)&lt;=Indicators!$M$86,3,IF(N(I88)&lt;=Indicators!$L$86,2,1)))))))</f>
        <v/>
      </c>
      <c r="K88" s="35">
        <v>2</v>
      </c>
      <c r="L88" s="37">
        <f>IF(Indicators!$D$86="C0","",IF(K88&lt;&gt;"",K88,IF(J88&lt;&gt;"",J88,"")))</f>
        <v>2</v>
      </c>
      <c r="M88" s="35" t="s">
        <v>191</v>
      </c>
      <c r="N88" s="35">
        <v>2025</v>
      </c>
      <c r="O88" s="37" t="str">
        <f t="shared" si="2"/>
        <v/>
      </c>
      <c r="P88" s="35" t="s">
        <v>532</v>
      </c>
      <c r="Q88" s="35"/>
      <c r="R88" s="35" t="s">
        <v>533</v>
      </c>
    </row>
    <row r="89" spans="2:18" ht="15" customHeight="1">
      <c r="B89" s="39" t="s">
        <v>534</v>
      </c>
      <c r="C89" s="36" t="s">
        <v>535</v>
      </c>
      <c r="D89" s="35" t="s">
        <v>82</v>
      </c>
      <c r="E89" s="35" t="s">
        <v>196</v>
      </c>
      <c r="F89" s="35" t="s">
        <v>150</v>
      </c>
      <c r="G89" s="39" t="s">
        <v>204</v>
      </c>
      <c r="H89" s="35">
        <v>2</v>
      </c>
      <c r="I89" s="35"/>
      <c r="J89" s="37" t="str">
        <f>IF(I89="","",IF(Indicators!$H$87&lt;&gt;"Quantitative threshold","",IF(Indicators!$I$87="Higher",IF(N(I89)&gt;=Indicators!$O$87,5,IF(N(I89)&gt;=Indicators!$N$87,4,IF(N(I89)&gt;=Indicators!$M$87,3,IF(N(I89)&gt;=Indicators!$L$87,2,1)))),IF(N(I89)&lt;=Indicators!$O$87,5,IF(N(I89)&lt;=Indicators!$N$87,4,IF(N(I89)&lt;=Indicators!$M$87,3,IF(N(I89)&lt;=Indicators!$L$87,2,1)))))))</f>
        <v/>
      </c>
      <c r="K89" s="35">
        <v>3</v>
      </c>
      <c r="L89" s="37">
        <f>IF(Indicators!$D$87="C0","",IF(K89&lt;&gt;"",K89,IF(J89&lt;&gt;"",J89,"")))</f>
        <v>3</v>
      </c>
      <c r="M89" s="35" t="s">
        <v>162</v>
      </c>
      <c r="N89" s="35">
        <v>2024</v>
      </c>
      <c r="O89" s="37" t="str">
        <f t="shared" si="2"/>
        <v/>
      </c>
      <c r="P89" s="35" t="s">
        <v>536</v>
      </c>
      <c r="Q89" s="38" t="s">
        <v>319</v>
      </c>
      <c r="R89" s="35" t="s">
        <v>537</v>
      </c>
    </row>
    <row r="90" spans="2:18" ht="27.75" customHeight="1">
      <c r="B90" s="35" t="s">
        <v>538</v>
      </c>
      <c r="C90" s="36" t="s">
        <v>539</v>
      </c>
      <c r="D90" s="35" t="s">
        <v>82</v>
      </c>
      <c r="E90" s="35" t="s">
        <v>196</v>
      </c>
      <c r="F90" s="35" t="s">
        <v>150</v>
      </c>
      <c r="G90" s="35"/>
      <c r="H90" s="35">
        <v>2</v>
      </c>
      <c r="I90" s="35"/>
      <c r="J90" s="37" t="str">
        <f>IF(I90="","",IF(Indicators!$H$88&lt;&gt;"Quantitative threshold","",IF(Indicators!$I$88="Higher",IF(N(I90)&gt;=Indicators!$O$88,5,IF(N(I90)&gt;=Indicators!$N$88,4,IF(N(I90)&gt;=Indicators!$M$88,3,IF(N(I90)&gt;=Indicators!$L$88,2,1)))),IF(N(I90)&lt;=Indicators!$O$88,5,IF(N(I90)&lt;=Indicators!$N$88,4,IF(N(I90)&lt;=Indicators!$M$88,3,IF(N(I90)&lt;=Indicators!$L$88,2,1)))))))</f>
        <v/>
      </c>
      <c r="K90" s="35">
        <v>2</v>
      </c>
      <c r="L90" s="37">
        <f>IF(Indicators!$D$88="C0","",IF(K90&lt;&gt;"",K90,IF(J90&lt;&gt;"",J90,"")))</f>
        <v>2</v>
      </c>
      <c r="M90" s="35" t="s">
        <v>191</v>
      </c>
      <c r="N90" s="35">
        <v>2025</v>
      </c>
      <c r="O90" s="37" t="str">
        <f t="shared" si="2"/>
        <v/>
      </c>
      <c r="P90" s="35" t="s">
        <v>275</v>
      </c>
      <c r="Q90" s="35"/>
      <c r="R90" s="35" t="s">
        <v>540</v>
      </c>
    </row>
    <row r="91" spans="2:18" ht="15" customHeight="1">
      <c r="B91" s="35" t="s">
        <v>541</v>
      </c>
      <c r="C91" s="36" t="s">
        <v>542</v>
      </c>
      <c r="D91" s="35" t="s">
        <v>82</v>
      </c>
      <c r="E91" s="35" t="s">
        <v>196</v>
      </c>
      <c r="F91" s="35" t="s">
        <v>150</v>
      </c>
      <c r="G91" s="35"/>
      <c r="H91" s="35">
        <v>2</v>
      </c>
      <c r="I91" s="35"/>
      <c r="J91" s="37" t="str">
        <f>IF(I91="","",IF(Indicators!$H$89&lt;&gt;"Quantitative threshold","",IF(Indicators!$I$89="Higher",IF(N(I91)&gt;=Indicators!$O$89,5,IF(N(I91)&gt;=Indicators!$N$89,4,IF(N(I91)&gt;=Indicators!$M$89,3,IF(N(I91)&gt;=Indicators!$L$89,2,1)))),IF(N(I91)&lt;=Indicators!$O$89,5,IF(N(I91)&lt;=Indicators!$N$89,4,IF(N(I91)&lt;=Indicators!$M$89,3,IF(N(I91)&lt;=Indicators!$L$89,2,1)))))))</f>
        <v/>
      </c>
      <c r="K91" s="35">
        <v>2</v>
      </c>
      <c r="L91" s="37">
        <f>IF(Indicators!$D$89="C0","",IF(K91&lt;&gt;"",K91,IF(J91&lt;&gt;"",J91,"")))</f>
        <v>2</v>
      </c>
      <c r="M91" s="35" t="s">
        <v>191</v>
      </c>
      <c r="N91" s="35">
        <v>2025</v>
      </c>
      <c r="O91" s="37" t="str">
        <f t="shared" si="2"/>
        <v/>
      </c>
      <c r="P91" s="35" t="s">
        <v>275</v>
      </c>
      <c r="Q91" s="35"/>
      <c r="R91" s="35" t="s">
        <v>543</v>
      </c>
    </row>
    <row r="92" spans="2:18" ht="15" customHeight="1">
      <c r="B92" s="39" t="s">
        <v>544</v>
      </c>
      <c r="C92" s="36" t="s">
        <v>545</v>
      </c>
      <c r="D92" s="35" t="s">
        <v>82</v>
      </c>
      <c r="E92" s="35" t="s">
        <v>196</v>
      </c>
      <c r="F92" s="35" t="s">
        <v>150</v>
      </c>
      <c r="G92" s="39" t="s">
        <v>204</v>
      </c>
      <c r="H92" s="35">
        <v>2</v>
      </c>
      <c r="I92" s="35"/>
      <c r="J92" s="37" t="str">
        <f>IF(I92="","",IF(Indicators!$H$90&lt;&gt;"Quantitative threshold","",IF(Indicators!$I$90="Higher",IF(N(I92)&gt;=Indicators!$O$90,5,IF(N(I92)&gt;=Indicators!$N$90,4,IF(N(I92)&gt;=Indicators!$M$90,3,IF(N(I92)&gt;=Indicators!$L$90,2,1)))),IF(N(I92)&lt;=Indicators!$O$90,5,IF(N(I92)&lt;=Indicators!$N$90,4,IF(N(I92)&lt;=Indicators!$M$90,3,IF(N(I92)&lt;=Indicators!$L$90,2,1)))))))</f>
        <v/>
      </c>
      <c r="K92" s="35">
        <v>3</v>
      </c>
      <c r="L92" s="37">
        <f>IF(Indicators!$D$90="C0","",IF(K92&lt;&gt;"",K92,IF(J92&lt;&gt;"",J92,"")))</f>
        <v>3</v>
      </c>
      <c r="M92" s="35" t="s">
        <v>162</v>
      </c>
      <c r="N92" s="35">
        <v>2020</v>
      </c>
      <c r="O92" s="37" t="str">
        <f t="shared" si="2"/>
        <v>STALE</v>
      </c>
      <c r="P92" s="35" t="s">
        <v>546</v>
      </c>
      <c r="Q92" s="38" t="s">
        <v>314</v>
      </c>
      <c r="R92" s="35" t="s">
        <v>547</v>
      </c>
    </row>
    <row r="93" spans="2:18" ht="15" customHeight="1">
      <c r="B93" s="35" t="s">
        <v>548</v>
      </c>
      <c r="C93" s="36" t="s">
        <v>549</v>
      </c>
      <c r="D93" s="35" t="s">
        <v>84</v>
      </c>
      <c r="E93" s="35" t="s">
        <v>202</v>
      </c>
      <c r="F93" s="35" t="s">
        <v>221</v>
      </c>
      <c r="G93" s="35"/>
      <c r="H93" s="35">
        <v>3</v>
      </c>
      <c r="I93" s="35">
        <v>9.4</v>
      </c>
      <c r="J93" s="37">
        <f>IF(I93="","",IF(Indicators!$H$91&lt;&gt;"Quantitative threshold","",IF(Indicators!$I$91="Higher",IF(N(I93)&gt;=Indicators!$O$91,5,IF(N(I93)&gt;=Indicators!$N$91,4,IF(N(I93)&gt;=Indicators!$M$91,3,IF(N(I93)&gt;=Indicators!$L$91,2,1)))),IF(N(I93)&lt;=Indicators!$O$91,5,IF(N(I93)&lt;=Indicators!$N$91,4,IF(N(I93)&lt;=Indicators!$M$91,3,IF(N(I93)&lt;=Indicators!$L$91,2,1)))))))</f>
        <v>3</v>
      </c>
      <c r="K93" s="35"/>
      <c r="L93" s="37">
        <f>IF(Indicators!$D$91="C0","",IF(K93&lt;&gt;"",K93,IF(J93&lt;&gt;"",J93,"")))</f>
        <v>3</v>
      </c>
      <c r="M93" s="35" t="s">
        <v>151</v>
      </c>
      <c r="N93" s="35">
        <v>2023</v>
      </c>
      <c r="O93" s="37" t="str">
        <f t="shared" si="2"/>
        <v/>
      </c>
      <c r="P93" s="35" t="s">
        <v>550</v>
      </c>
      <c r="Q93" s="38" t="s">
        <v>551</v>
      </c>
      <c r="R93" s="35" t="s">
        <v>552</v>
      </c>
    </row>
    <row r="94" spans="2:18" ht="15" customHeight="1">
      <c r="B94" s="35" t="s">
        <v>553</v>
      </c>
      <c r="C94" s="36" t="s">
        <v>554</v>
      </c>
      <c r="D94" s="35" t="s">
        <v>84</v>
      </c>
      <c r="E94" s="35" t="s">
        <v>202</v>
      </c>
      <c r="F94" s="35" t="s">
        <v>203</v>
      </c>
      <c r="G94" s="35"/>
      <c r="H94" s="35">
        <v>3</v>
      </c>
      <c r="I94" s="35">
        <v>40.21</v>
      </c>
      <c r="J94" s="37">
        <f>IF(I94="","",IF(Indicators!$H$92&lt;&gt;"Quantitative threshold","",IF(Indicators!$I$92="Higher",IF(N(I94)&gt;=Indicators!$O$92,5,IF(N(I94)&gt;=Indicators!$N$92,4,IF(N(I94)&gt;=Indicators!$M$92,3,IF(N(I94)&gt;=Indicators!$L$92,2,1)))),IF(N(I94)&lt;=Indicators!$O$92,5,IF(N(I94)&lt;=Indicators!$N$92,4,IF(N(I94)&lt;=Indicators!$M$92,3,IF(N(I94)&lt;=Indicators!$L$92,2,1)))))))</f>
        <v>3</v>
      </c>
      <c r="K94" s="35"/>
      <c r="L94" s="37">
        <f>IF(Indicators!$D$92="C0","",IF(K94&lt;&gt;"",K94,IF(J94&lt;&gt;"",J94,"")))</f>
        <v>3</v>
      </c>
      <c r="M94" s="35" t="s">
        <v>151</v>
      </c>
      <c r="N94" s="35">
        <v>2024</v>
      </c>
      <c r="O94" s="37" t="str">
        <f t="shared" si="2"/>
        <v/>
      </c>
      <c r="P94" s="35" t="s">
        <v>555</v>
      </c>
      <c r="Q94" s="38" t="s">
        <v>556</v>
      </c>
      <c r="R94" s="35" t="s">
        <v>557</v>
      </c>
    </row>
    <row r="95" spans="2:18" ht="27.75" customHeight="1">
      <c r="B95" s="35" t="s">
        <v>558</v>
      </c>
      <c r="C95" s="36" t="s">
        <v>559</v>
      </c>
      <c r="D95" s="35" t="s">
        <v>84</v>
      </c>
      <c r="E95" s="35" t="s">
        <v>202</v>
      </c>
      <c r="F95" s="35" t="s">
        <v>221</v>
      </c>
      <c r="G95" s="35"/>
      <c r="H95" s="35">
        <v>3</v>
      </c>
      <c r="I95" s="35">
        <v>5.74</v>
      </c>
      <c r="J95" s="37">
        <f>IF(I95="","",IF(Indicators!$H$93&lt;&gt;"Quantitative threshold","",IF(Indicators!$I$93="Higher",IF(N(I95)&gt;=Indicators!$O$93,5,IF(N(I95)&gt;=Indicators!$N$93,4,IF(N(I95)&gt;=Indicators!$M$93,3,IF(N(I95)&gt;=Indicators!$L$93,2,1)))),IF(N(I95)&lt;=Indicators!$O$93,5,IF(N(I95)&lt;=Indicators!$N$93,4,IF(N(I95)&lt;=Indicators!$M$93,3,IF(N(I95)&lt;=Indicators!$L$93,2,1)))))))</f>
        <v>4</v>
      </c>
      <c r="K95" s="35"/>
      <c r="L95" s="37">
        <f>IF(Indicators!$D$93="C0","",IF(K95&lt;&gt;"",K95,IF(J95&lt;&gt;"",J95,"")))</f>
        <v>4</v>
      </c>
      <c r="M95" s="35" t="s">
        <v>151</v>
      </c>
      <c r="N95" s="35">
        <v>2024</v>
      </c>
      <c r="O95" s="37" t="str">
        <f t="shared" si="2"/>
        <v/>
      </c>
      <c r="P95" s="35" t="s">
        <v>560</v>
      </c>
      <c r="Q95" s="38" t="s">
        <v>561</v>
      </c>
      <c r="R95" s="35" t="s">
        <v>562</v>
      </c>
    </row>
    <row r="96" spans="2:18" ht="15" customHeight="1">
      <c r="B96" s="35" t="s">
        <v>563</v>
      </c>
      <c r="C96" s="36" t="s">
        <v>564</v>
      </c>
      <c r="D96" s="35" t="s">
        <v>84</v>
      </c>
      <c r="E96" s="35" t="s">
        <v>202</v>
      </c>
      <c r="F96" s="35" t="s">
        <v>203</v>
      </c>
      <c r="G96" s="35"/>
      <c r="H96" s="35">
        <v>3</v>
      </c>
      <c r="I96" s="35">
        <v>15.6</v>
      </c>
      <c r="J96" s="37">
        <f>IF(I96="","",IF(Indicators!$H$94&lt;&gt;"Quantitative threshold","",IF(Indicators!$I$94="Higher",IF(N(I96)&gt;=Indicators!$O$94,5,IF(N(I96)&gt;=Indicators!$N$94,4,IF(N(I96)&gt;=Indicators!$M$94,3,IF(N(I96)&gt;=Indicators!$L$94,2,1)))),IF(N(I96)&lt;=Indicators!$O$94,5,IF(N(I96)&lt;=Indicators!$N$94,4,IF(N(I96)&lt;=Indicators!$M$94,3,IF(N(I96)&lt;=Indicators!$L$94,2,1)))))))</f>
        <v>2</v>
      </c>
      <c r="K96" s="35"/>
      <c r="L96" s="37">
        <f>IF(Indicators!$D$94="C0","",IF(K96&lt;&gt;"",K96,IF(J96&lt;&gt;"",J96,"")))</f>
        <v>2</v>
      </c>
      <c r="M96" s="35" t="s">
        <v>162</v>
      </c>
      <c r="N96" s="35">
        <v>2024</v>
      </c>
      <c r="O96" s="37" t="str">
        <f t="shared" si="2"/>
        <v/>
      </c>
      <c r="P96" s="35" t="s">
        <v>565</v>
      </c>
      <c r="Q96" s="38" t="s">
        <v>566</v>
      </c>
      <c r="R96" s="35" t="s">
        <v>567</v>
      </c>
    </row>
    <row r="97" spans="2:18" ht="15" customHeight="1">
      <c r="B97" s="35" t="s">
        <v>568</v>
      </c>
      <c r="C97" s="36" t="s">
        <v>569</v>
      </c>
      <c r="D97" s="35" t="s">
        <v>84</v>
      </c>
      <c r="E97" s="35" t="s">
        <v>202</v>
      </c>
      <c r="F97" s="35" t="s">
        <v>203</v>
      </c>
      <c r="G97" s="35"/>
      <c r="H97" s="35">
        <v>3</v>
      </c>
      <c r="I97" s="35">
        <v>5.2</v>
      </c>
      <c r="J97" s="37">
        <f>IF(I97="","",IF(Indicators!$H$95&lt;&gt;"Quantitative threshold","",IF(Indicators!$I$95="Higher",IF(N(I97)&gt;=Indicators!$O$95,5,IF(N(I97)&gt;=Indicators!$N$95,4,IF(N(I97)&gt;=Indicators!$M$95,3,IF(N(I97)&gt;=Indicators!$L$95,2,1)))),IF(N(I97)&lt;=Indicators!$O$95,5,IF(N(I97)&lt;=Indicators!$N$95,4,IF(N(I97)&lt;=Indicators!$M$95,3,IF(N(I97)&lt;=Indicators!$L$95,2,1)))))))</f>
        <v>1</v>
      </c>
      <c r="K97" s="35"/>
      <c r="L97" s="37">
        <f>IF(Indicators!$D$95="C0","",IF(K97&lt;&gt;"",K97,IF(J97&lt;&gt;"",J97,"")))</f>
        <v>1</v>
      </c>
      <c r="M97" s="35" t="s">
        <v>162</v>
      </c>
      <c r="N97" s="35">
        <v>2015</v>
      </c>
      <c r="O97" s="37" t="str">
        <f t="shared" si="2"/>
        <v>STALE</v>
      </c>
      <c r="P97" s="35" t="s">
        <v>570</v>
      </c>
      <c r="Q97" s="38" t="s">
        <v>571</v>
      </c>
      <c r="R97" s="35" t="s">
        <v>572</v>
      </c>
    </row>
    <row r="98" spans="2:18" ht="27.75" customHeight="1">
      <c r="B98" s="35" t="s">
        <v>573</v>
      </c>
      <c r="C98" s="36" t="s">
        <v>574</v>
      </c>
      <c r="D98" s="35" t="s">
        <v>84</v>
      </c>
      <c r="E98" s="35" t="s">
        <v>202</v>
      </c>
      <c r="F98" s="35" t="s">
        <v>221</v>
      </c>
      <c r="G98" s="35"/>
      <c r="H98" s="35">
        <v>3</v>
      </c>
      <c r="I98" s="35">
        <v>-2</v>
      </c>
      <c r="J98" s="37">
        <f>IF(I98="","",IF(Indicators!$H$96&lt;&gt;"Quantitative threshold","",IF(Indicators!$I$96="Higher",IF(N(I98)&gt;=Indicators!$O$96,5,IF(N(I98)&gt;=Indicators!$N$96,4,IF(N(I98)&gt;=Indicators!$M$96,3,IF(N(I98)&gt;=Indicators!$L$96,2,1)))),IF(N(I98)&lt;=Indicators!$O$96,5,IF(N(I98)&lt;=Indicators!$N$96,4,IF(N(I98)&lt;=Indicators!$M$96,3,IF(N(I98)&lt;=Indicators!$L$96,2,1)))))))</f>
        <v>5</v>
      </c>
      <c r="K98" s="35"/>
      <c r="L98" s="37">
        <f>IF(Indicators!$D$96="C0","",IF(K98&lt;&gt;"",K98,IF(J98&lt;&gt;"",J98,"")))</f>
        <v>5</v>
      </c>
      <c r="M98" s="35" t="s">
        <v>162</v>
      </c>
      <c r="N98" s="35">
        <v>2022</v>
      </c>
      <c r="O98" s="37" t="str">
        <f t="shared" si="2"/>
        <v/>
      </c>
      <c r="P98" s="35" t="s">
        <v>575</v>
      </c>
      <c r="Q98" s="38" t="s">
        <v>576</v>
      </c>
      <c r="R98" s="35" t="s">
        <v>577</v>
      </c>
    </row>
    <row r="99" spans="2:18" ht="27.75" customHeight="1">
      <c r="B99" s="35" t="s">
        <v>578</v>
      </c>
      <c r="C99" s="36" t="s">
        <v>579</v>
      </c>
      <c r="D99" s="35" t="s">
        <v>84</v>
      </c>
      <c r="E99" s="35" t="s">
        <v>202</v>
      </c>
      <c r="F99" s="35" t="s">
        <v>203</v>
      </c>
      <c r="G99" s="35"/>
      <c r="H99" s="35">
        <v>3</v>
      </c>
      <c r="I99" s="35"/>
      <c r="J99" s="37" t="str">
        <f>IF(I99="","",IF(Indicators!$H$97&lt;&gt;"Quantitative threshold","",IF(Indicators!$I$97="Higher",IF(N(I99)&gt;=Indicators!$O$97,5,IF(N(I99)&gt;=Indicators!$N$97,4,IF(N(I99)&gt;=Indicators!$M$97,3,IF(N(I99)&gt;=Indicators!$L$97,2,1)))),IF(N(I99)&lt;=Indicators!$O$97,5,IF(N(I99)&lt;=Indicators!$N$97,4,IF(N(I99)&lt;=Indicators!$M$97,3,IF(N(I99)&lt;=Indicators!$L$97,2,1)))))))</f>
        <v/>
      </c>
      <c r="K99" s="35">
        <v>2</v>
      </c>
      <c r="L99" s="37">
        <f>IF(Indicators!$D$97="C0","",IF(K99&lt;&gt;"",K99,IF(J99&lt;&gt;"",J99,"")))</f>
        <v>2</v>
      </c>
      <c r="M99" s="35" t="s">
        <v>191</v>
      </c>
      <c r="N99" s="35">
        <v>2025</v>
      </c>
      <c r="O99" s="37" t="str">
        <f t="shared" si="2"/>
        <v/>
      </c>
      <c r="P99" s="35" t="s">
        <v>580</v>
      </c>
      <c r="Q99" s="35"/>
      <c r="R99" s="35" t="s">
        <v>581</v>
      </c>
    </row>
    <row r="100" spans="2:18" ht="27.75" customHeight="1">
      <c r="B100" s="35" t="s">
        <v>582</v>
      </c>
      <c r="C100" s="36" t="s">
        <v>583</v>
      </c>
      <c r="D100" s="35" t="s">
        <v>84</v>
      </c>
      <c r="E100" s="35" t="s">
        <v>202</v>
      </c>
      <c r="F100" s="35" t="s">
        <v>203</v>
      </c>
      <c r="G100" s="35"/>
      <c r="H100" s="35">
        <v>3</v>
      </c>
      <c r="I100" s="35"/>
      <c r="J100" s="37" t="str">
        <f>IF(I100="","",IF(Indicators!$H$98&lt;&gt;"Quantitative threshold","",IF(Indicators!$I$98="Higher",IF(N(I100)&gt;=Indicators!$O$98,5,IF(N(I100)&gt;=Indicators!$N$98,4,IF(N(I100)&gt;=Indicators!$M$98,3,IF(N(I100)&gt;=Indicators!$L$98,2,1)))),IF(N(I100)&lt;=Indicators!$O$98,5,IF(N(I100)&lt;=Indicators!$N$98,4,IF(N(I100)&lt;=Indicators!$M$98,3,IF(N(I100)&lt;=Indicators!$L$98,2,1)))))))</f>
        <v/>
      </c>
      <c r="K100" s="35">
        <v>3</v>
      </c>
      <c r="L100" s="37">
        <f>IF(Indicators!$D$98="C0","",IF(K100&lt;&gt;"",K100,IF(J100&lt;&gt;"",J100,"")))</f>
        <v>3</v>
      </c>
      <c r="M100" s="35" t="s">
        <v>191</v>
      </c>
      <c r="N100" s="35">
        <v>2025</v>
      </c>
      <c r="O100" s="37" t="str">
        <f t="shared" si="2"/>
        <v/>
      </c>
      <c r="P100" s="35" t="s">
        <v>584</v>
      </c>
      <c r="Q100" s="35"/>
      <c r="R100" s="35" t="s">
        <v>585</v>
      </c>
    </row>
    <row r="101" spans="2:18" ht="27.75" customHeight="1">
      <c r="B101" s="35" t="s">
        <v>586</v>
      </c>
      <c r="C101" s="36" t="s">
        <v>587</v>
      </c>
      <c r="D101" s="35" t="s">
        <v>84</v>
      </c>
      <c r="E101" s="35" t="s">
        <v>202</v>
      </c>
      <c r="F101" s="35" t="s">
        <v>203</v>
      </c>
      <c r="G101" s="35"/>
      <c r="H101" s="35">
        <v>3</v>
      </c>
      <c r="I101" s="35"/>
      <c r="J101" s="37" t="str">
        <f>IF(I101="","",IF(Indicators!$H$99&lt;&gt;"Quantitative threshold","",IF(Indicators!$I$99="Higher",IF(N(I101)&gt;=Indicators!$O$99,5,IF(N(I101)&gt;=Indicators!$N$99,4,IF(N(I101)&gt;=Indicators!$M$99,3,IF(N(I101)&gt;=Indicators!$L$99,2,1)))),IF(N(I101)&lt;=Indicators!$O$99,5,IF(N(I101)&lt;=Indicators!$N$99,4,IF(N(I101)&lt;=Indicators!$M$99,3,IF(N(I101)&lt;=Indicators!$L$99,2,1)))))))</f>
        <v/>
      </c>
      <c r="K101" s="35">
        <v>3</v>
      </c>
      <c r="L101" s="37">
        <f>IF(Indicators!$D$99="C0","",IF(K101&lt;&gt;"",K101,IF(J101&lt;&gt;"",J101,"")))</f>
        <v>3</v>
      </c>
      <c r="M101" s="35" t="s">
        <v>191</v>
      </c>
      <c r="N101" s="35">
        <v>2025</v>
      </c>
      <c r="O101" s="37" t="str">
        <f t="shared" si="2"/>
        <v/>
      </c>
      <c r="P101" s="35" t="s">
        <v>588</v>
      </c>
      <c r="Q101" s="38" t="s">
        <v>293</v>
      </c>
      <c r="R101" s="35" t="s">
        <v>589</v>
      </c>
    </row>
    <row r="102" spans="2:18" ht="27.75" customHeight="1">
      <c r="B102" s="35" t="s">
        <v>590</v>
      </c>
      <c r="C102" s="36" t="s">
        <v>591</v>
      </c>
      <c r="D102" s="35" t="s">
        <v>84</v>
      </c>
      <c r="E102" s="35" t="s">
        <v>202</v>
      </c>
      <c r="F102" s="35" t="s">
        <v>203</v>
      </c>
      <c r="G102" s="35"/>
      <c r="H102" s="35">
        <v>3</v>
      </c>
      <c r="I102" s="35"/>
      <c r="J102" s="37" t="str">
        <f>IF(I102="","",IF(Indicators!$H$100&lt;&gt;"Quantitative threshold","",IF(Indicators!$I$100="Higher",IF(N(I102)&gt;=Indicators!$O$100,5,IF(N(I102)&gt;=Indicators!$N$100,4,IF(N(I102)&gt;=Indicators!$M$100,3,IF(N(I102)&gt;=Indicators!$L$100,2,1)))),IF(N(I102)&lt;=Indicators!$O$100,5,IF(N(I102)&lt;=Indicators!$N$100,4,IF(N(I102)&lt;=Indicators!$M$100,3,IF(N(I102)&lt;=Indicators!$L$100,2,1)))))))</f>
        <v/>
      </c>
      <c r="K102" s="35">
        <v>2</v>
      </c>
      <c r="L102" s="37">
        <f>IF(Indicators!$D$100="C0","",IF(K102&lt;&gt;"",K102,IF(J102&lt;&gt;"",J102,"")))</f>
        <v>2</v>
      </c>
      <c r="M102" s="35" t="s">
        <v>191</v>
      </c>
      <c r="N102" s="35">
        <v>2025</v>
      </c>
      <c r="O102" s="37" t="str">
        <f t="shared" si="2"/>
        <v/>
      </c>
      <c r="P102" s="35" t="s">
        <v>592</v>
      </c>
      <c r="Q102" s="35"/>
      <c r="R102" s="35" t="s">
        <v>593</v>
      </c>
    </row>
    <row r="103" spans="2:18" ht="27.75" customHeight="1">
      <c r="B103" s="35" t="s">
        <v>594</v>
      </c>
      <c r="C103" s="36" t="s">
        <v>595</v>
      </c>
      <c r="D103" s="35" t="s">
        <v>84</v>
      </c>
      <c r="E103" s="35" t="s">
        <v>202</v>
      </c>
      <c r="F103" s="35" t="s">
        <v>203</v>
      </c>
      <c r="G103" s="35"/>
      <c r="H103" s="35">
        <v>3</v>
      </c>
      <c r="I103" s="35" t="s">
        <v>596</v>
      </c>
      <c r="J103" s="37">
        <f>IF(I103="","",IF(Indicators!$H$101&lt;&gt;"Quantitative threshold","",IF(Indicators!$I$101="Higher",IF(N(I103)&gt;=Indicators!$O$101,5,IF(N(I103)&gt;=Indicators!$N$101,4,IF(N(I103)&gt;=Indicators!$M$101,3,IF(N(I103)&gt;=Indicators!$L$101,2,1)))),IF(N(I103)&lt;=Indicators!$O$101,5,IF(N(I103)&lt;=Indicators!$N$101,4,IF(N(I103)&lt;=Indicators!$M$101,3,IF(N(I103)&lt;=Indicators!$L$101,2,1)))))))</f>
        <v>1</v>
      </c>
      <c r="K103" s="35"/>
      <c r="L103" s="37">
        <f>IF(Indicators!$D$101="C0","",IF(K103&lt;&gt;"",K103,IF(J103&lt;&gt;"",J103,"")))</f>
        <v>1</v>
      </c>
      <c r="M103" s="35" t="s">
        <v>162</v>
      </c>
      <c r="N103" s="35">
        <v>2025</v>
      </c>
      <c r="O103" s="37" t="str">
        <f t="shared" si="2"/>
        <v/>
      </c>
      <c r="P103" s="35" t="s">
        <v>597</v>
      </c>
      <c r="Q103" s="38" t="s">
        <v>293</v>
      </c>
      <c r="R103" s="35" t="s">
        <v>598</v>
      </c>
    </row>
    <row r="104" spans="2:18" ht="27.75" customHeight="1">
      <c r="B104" s="35" t="s">
        <v>599</v>
      </c>
      <c r="C104" s="36" t="s">
        <v>600</v>
      </c>
      <c r="D104" s="35" t="s">
        <v>84</v>
      </c>
      <c r="E104" s="35" t="s">
        <v>601</v>
      </c>
      <c r="F104" s="35" t="s">
        <v>150</v>
      </c>
      <c r="G104" s="35"/>
      <c r="H104" s="35">
        <v>3</v>
      </c>
      <c r="I104" s="35"/>
      <c r="J104" s="37" t="str">
        <f>IF(I104="","",IF(Indicators!$H$102&lt;&gt;"Quantitative threshold","",IF(Indicators!$I$102="Higher",IF(N(I104)&gt;=Indicators!$O$102,5,IF(N(I104)&gt;=Indicators!$N$102,4,IF(N(I104)&gt;=Indicators!$M$102,3,IF(N(I104)&gt;=Indicators!$L$102,2,1)))),IF(N(I104)&lt;=Indicators!$O$102,5,IF(N(I104)&lt;=Indicators!$N$102,4,IF(N(I104)&lt;=Indicators!$M$102,3,IF(N(I104)&lt;=Indicators!$L$102,2,1)))))))</f>
        <v/>
      </c>
      <c r="K104" s="35">
        <v>2</v>
      </c>
      <c r="L104" s="37">
        <f>IF(Indicators!$D$102="C0","",IF(K104&lt;&gt;"",K104,IF(J104&lt;&gt;"",J104,"")))</f>
        <v>2</v>
      </c>
      <c r="M104" s="35" t="s">
        <v>191</v>
      </c>
      <c r="N104" s="35">
        <v>2025</v>
      </c>
      <c r="O104" s="37" t="str">
        <f t="shared" ref="O104:O135" si="3">IF(N104="","",IF(N104&lt;($L$5-H104),"STALE",""))</f>
        <v/>
      </c>
      <c r="P104" s="35" t="s">
        <v>602</v>
      </c>
      <c r="Q104" s="38" t="s">
        <v>603</v>
      </c>
      <c r="R104" s="35" t="s">
        <v>604</v>
      </c>
    </row>
    <row r="105" spans="2:18" ht="27.75" customHeight="1">
      <c r="B105" s="35" t="s">
        <v>605</v>
      </c>
      <c r="C105" s="36" t="s">
        <v>606</v>
      </c>
      <c r="D105" s="35" t="s">
        <v>84</v>
      </c>
      <c r="E105" s="35" t="s">
        <v>601</v>
      </c>
      <c r="F105" s="35" t="s">
        <v>150</v>
      </c>
      <c r="G105" s="35"/>
      <c r="H105" s="35">
        <v>3</v>
      </c>
      <c r="I105" s="35"/>
      <c r="J105" s="37" t="str">
        <f>IF(I105="","",IF(Indicators!$H$103&lt;&gt;"Quantitative threshold","",IF(Indicators!$I$103="Higher",IF(N(I105)&gt;=Indicators!$O$103,5,IF(N(I105)&gt;=Indicators!$N$103,4,IF(N(I105)&gt;=Indicators!$M$103,3,IF(N(I105)&gt;=Indicators!$L$103,2,1)))),IF(N(I105)&lt;=Indicators!$O$103,5,IF(N(I105)&lt;=Indicators!$N$103,4,IF(N(I105)&lt;=Indicators!$M$103,3,IF(N(I105)&lt;=Indicators!$L$103,2,1)))))))</f>
        <v/>
      </c>
      <c r="K105" s="35">
        <v>2</v>
      </c>
      <c r="L105" s="37">
        <f>IF(Indicators!$D$103="C0","",IF(K105&lt;&gt;"",K105,IF(J105&lt;&gt;"",J105,"")))</f>
        <v>2</v>
      </c>
      <c r="M105" s="35" t="s">
        <v>191</v>
      </c>
      <c r="N105" s="35">
        <v>2025</v>
      </c>
      <c r="O105" s="37" t="str">
        <f t="shared" si="3"/>
        <v/>
      </c>
      <c r="P105" s="35" t="s">
        <v>607</v>
      </c>
      <c r="Q105" s="38" t="s">
        <v>483</v>
      </c>
      <c r="R105" s="35" t="s">
        <v>608</v>
      </c>
    </row>
    <row r="106" spans="2:18" ht="15" customHeight="1">
      <c r="B106" s="35" t="s">
        <v>609</v>
      </c>
      <c r="C106" s="36" t="s">
        <v>610</v>
      </c>
      <c r="D106" s="35" t="s">
        <v>84</v>
      </c>
      <c r="E106" s="35" t="s">
        <v>202</v>
      </c>
      <c r="F106" s="35" t="s">
        <v>203</v>
      </c>
      <c r="G106" s="35"/>
      <c r="H106" s="35">
        <v>3</v>
      </c>
      <c r="I106" s="35"/>
      <c r="J106" s="37" t="str">
        <f>IF(I106="","",IF(Indicators!$H$104&lt;&gt;"Quantitative threshold","",IF(Indicators!$I$104="Higher",IF(N(I106)&gt;=Indicators!$O$104,5,IF(N(I106)&gt;=Indicators!$N$104,4,IF(N(I106)&gt;=Indicators!$M$104,3,IF(N(I106)&gt;=Indicators!$L$104,2,1)))),IF(N(I106)&lt;=Indicators!$O$104,5,IF(N(I106)&lt;=Indicators!$N$104,4,IF(N(I106)&lt;=Indicators!$M$104,3,IF(N(I106)&lt;=Indicators!$L$104,2,1)))))))</f>
        <v/>
      </c>
      <c r="K106" s="35">
        <v>2</v>
      </c>
      <c r="L106" s="37">
        <f>IF(Indicators!$D$104="C0","",IF(K106&lt;&gt;"",K106,IF(J106&lt;&gt;"",J106,"")))</f>
        <v>2</v>
      </c>
      <c r="M106" s="35" t="s">
        <v>191</v>
      </c>
      <c r="N106" s="35">
        <v>2025</v>
      </c>
      <c r="O106" s="37" t="str">
        <f t="shared" si="3"/>
        <v/>
      </c>
      <c r="P106" s="35" t="s">
        <v>611</v>
      </c>
      <c r="Q106" s="38" t="s">
        <v>280</v>
      </c>
      <c r="R106" s="35" t="s">
        <v>612</v>
      </c>
    </row>
    <row r="107" spans="2:18" ht="27.75" customHeight="1">
      <c r="B107" s="35" t="s">
        <v>613</v>
      </c>
      <c r="C107" s="36" t="s">
        <v>614</v>
      </c>
      <c r="D107" s="35" t="s">
        <v>84</v>
      </c>
      <c r="E107" s="35" t="s">
        <v>202</v>
      </c>
      <c r="F107" s="35" t="s">
        <v>203</v>
      </c>
      <c r="G107" s="35"/>
      <c r="H107" s="35">
        <v>3</v>
      </c>
      <c r="I107" s="35"/>
      <c r="J107" s="37" t="str">
        <f>IF(I107="","",IF(Indicators!$H$105&lt;&gt;"Quantitative threshold","",IF(Indicators!$I$105="Higher",IF(N(I107)&gt;=Indicators!$O$105,5,IF(N(I107)&gt;=Indicators!$N$105,4,IF(N(I107)&gt;=Indicators!$M$105,3,IF(N(I107)&gt;=Indicators!$L$105,2,1)))),IF(N(I107)&lt;=Indicators!$O$105,5,IF(N(I107)&lt;=Indicators!$N$105,4,IF(N(I107)&lt;=Indicators!$M$105,3,IF(N(I107)&lt;=Indicators!$L$105,2,1)))))))</f>
        <v/>
      </c>
      <c r="K107" s="35">
        <v>3</v>
      </c>
      <c r="L107" s="37">
        <f>IF(Indicators!$D$105="C0","",IF(K107&lt;&gt;"",K107,IF(J107&lt;&gt;"",J107,"")))</f>
        <v>3</v>
      </c>
      <c r="M107" s="35" t="s">
        <v>191</v>
      </c>
      <c r="N107" s="35">
        <v>2025</v>
      </c>
      <c r="O107" s="37" t="str">
        <f t="shared" si="3"/>
        <v/>
      </c>
      <c r="P107" s="35" t="s">
        <v>615</v>
      </c>
      <c r="Q107" s="38" t="s">
        <v>175</v>
      </c>
      <c r="R107" s="35" t="s">
        <v>616</v>
      </c>
    </row>
    <row r="108" spans="2:18" ht="15" customHeight="1">
      <c r="B108" s="35" t="s">
        <v>617</v>
      </c>
      <c r="C108" s="36" t="s">
        <v>618</v>
      </c>
      <c r="D108" s="35" t="s">
        <v>84</v>
      </c>
      <c r="E108" s="35" t="s">
        <v>196</v>
      </c>
      <c r="F108" s="35" t="s">
        <v>150</v>
      </c>
      <c r="G108" s="35"/>
      <c r="H108" s="35">
        <v>3</v>
      </c>
      <c r="I108" s="35"/>
      <c r="J108" s="37" t="str">
        <f>IF(I108="","",IF(Indicators!$H$106&lt;&gt;"Quantitative threshold","",IF(Indicators!$I$106="Higher",IF(N(I108)&gt;=Indicators!$O$106,5,IF(N(I108)&gt;=Indicators!$N$106,4,IF(N(I108)&gt;=Indicators!$M$106,3,IF(N(I108)&gt;=Indicators!$L$106,2,1)))),IF(N(I108)&lt;=Indicators!$O$106,5,IF(N(I108)&lt;=Indicators!$N$106,4,IF(N(I108)&lt;=Indicators!$M$106,3,IF(N(I108)&lt;=Indicators!$L$106,2,1)))))))</f>
        <v/>
      </c>
      <c r="K108" s="35">
        <v>2</v>
      </c>
      <c r="L108" s="37">
        <f>IF(Indicators!$D$106="C0","",IF(K108&lt;&gt;"",K108,IF(J108&lt;&gt;"",J108,"")))</f>
        <v>2</v>
      </c>
      <c r="M108" s="35" t="s">
        <v>191</v>
      </c>
      <c r="N108" s="35">
        <v>2025</v>
      </c>
      <c r="O108" s="37" t="str">
        <f t="shared" si="3"/>
        <v/>
      </c>
      <c r="P108" s="35" t="s">
        <v>275</v>
      </c>
      <c r="Q108" s="35"/>
      <c r="R108" s="35" t="s">
        <v>619</v>
      </c>
    </row>
    <row r="109" spans="2:18" ht="27.75" customHeight="1">
      <c r="B109" s="35" t="s">
        <v>620</v>
      </c>
      <c r="C109" s="36" t="s">
        <v>621</v>
      </c>
      <c r="D109" s="35" t="s">
        <v>84</v>
      </c>
      <c r="E109" s="35" t="s">
        <v>202</v>
      </c>
      <c r="F109" s="35" t="s">
        <v>203</v>
      </c>
      <c r="G109" s="35"/>
      <c r="H109" s="35">
        <v>2</v>
      </c>
      <c r="I109" s="35"/>
      <c r="J109" s="37" t="str">
        <f>IF(I109="","",IF(Indicators!$H$107&lt;&gt;"Quantitative threshold","",IF(Indicators!$I$107="Higher",IF(N(I109)&gt;=Indicators!$O$107,5,IF(N(I109)&gt;=Indicators!$N$107,4,IF(N(I109)&gt;=Indicators!$M$107,3,IF(N(I109)&gt;=Indicators!$L$107,2,1)))),IF(N(I109)&lt;=Indicators!$O$107,5,IF(N(I109)&lt;=Indicators!$N$107,4,IF(N(I109)&lt;=Indicators!$M$107,3,IF(N(I109)&lt;=Indicators!$L$107,2,1)))))))</f>
        <v/>
      </c>
      <c r="K109" s="35">
        <v>1</v>
      </c>
      <c r="L109" s="37">
        <f>IF(Indicators!$D$107="C0","",IF(K109&lt;&gt;"",K109,IF(J109&lt;&gt;"",J109,"")))</f>
        <v>1</v>
      </c>
      <c r="M109" s="35" t="s">
        <v>191</v>
      </c>
      <c r="N109" s="35">
        <v>2025</v>
      </c>
      <c r="O109" s="37" t="str">
        <f t="shared" si="3"/>
        <v/>
      </c>
      <c r="P109" s="35" t="s">
        <v>622</v>
      </c>
      <c r="Q109" s="38" t="s">
        <v>280</v>
      </c>
      <c r="R109" s="35" t="s">
        <v>623</v>
      </c>
    </row>
  </sheetData>
  <autoFilter ref="B7:R109" xr:uid="{00000000-0009-0000-0000-000002000000}"/>
  <conditionalFormatting sqref="L8:L109">
    <cfRule type="cellIs" dxfId="5" priority="2" operator="equal">
      <formula>1</formula>
    </cfRule>
    <cfRule type="cellIs" dxfId="4" priority="3" operator="equal">
      <formula>5</formula>
    </cfRule>
  </conditionalFormatting>
  <conditionalFormatting sqref="O8:O109">
    <cfRule type="cellIs" dxfId="3" priority="4" operator="equal">
      <formula>"STALE"</formula>
    </cfRule>
  </conditionalFormatting>
  <hyperlinks>
    <hyperlink ref="Q8" r:id="rId1" xr:uid="{00000000-0004-0000-0200-000000000000}"/>
    <hyperlink ref="Q9" r:id="rId2" xr:uid="{00000000-0004-0000-0200-000001000000}"/>
    <hyperlink ref="Q10" r:id="rId3" xr:uid="{00000000-0004-0000-0200-000002000000}"/>
    <hyperlink ref="Q11" r:id="rId4" xr:uid="{00000000-0004-0000-0200-000003000000}"/>
    <hyperlink ref="Q12" r:id="rId5" xr:uid="{00000000-0004-0000-0200-000004000000}"/>
    <hyperlink ref="Q13" r:id="rId6" xr:uid="{00000000-0004-0000-0200-000005000000}"/>
    <hyperlink ref="Q14" r:id="rId7" xr:uid="{00000000-0004-0000-0200-000006000000}"/>
    <hyperlink ref="Q15" r:id="rId8" xr:uid="{00000000-0004-0000-0200-000007000000}"/>
    <hyperlink ref="Q16" r:id="rId9" xr:uid="{00000000-0004-0000-0200-000008000000}"/>
    <hyperlink ref="Q17" r:id="rId10" xr:uid="{00000000-0004-0000-0200-000009000000}"/>
    <hyperlink ref="Q18" r:id="rId11" xr:uid="{00000000-0004-0000-0200-00000A000000}"/>
    <hyperlink ref="Q19" r:id="rId12" xr:uid="{00000000-0004-0000-0200-00000B000000}"/>
    <hyperlink ref="Q20" r:id="rId13" xr:uid="{00000000-0004-0000-0200-00000C000000}"/>
    <hyperlink ref="Q21" r:id="rId14" xr:uid="{00000000-0004-0000-0200-00000D000000}"/>
    <hyperlink ref="Q22" r:id="rId15" xr:uid="{00000000-0004-0000-0200-00000E000000}"/>
    <hyperlink ref="Q23" r:id="rId16" xr:uid="{00000000-0004-0000-0200-00000F000000}"/>
    <hyperlink ref="Q24" r:id="rId17" xr:uid="{00000000-0004-0000-0200-000010000000}"/>
    <hyperlink ref="Q25" r:id="rId18" xr:uid="{00000000-0004-0000-0200-000011000000}"/>
    <hyperlink ref="Q26" r:id="rId19" xr:uid="{00000000-0004-0000-0200-000012000000}"/>
    <hyperlink ref="Q28" r:id="rId20" xr:uid="{00000000-0004-0000-0200-000013000000}"/>
    <hyperlink ref="Q29" r:id="rId21" xr:uid="{00000000-0004-0000-0200-000014000000}"/>
    <hyperlink ref="Q30" r:id="rId22" xr:uid="{00000000-0004-0000-0200-000015000000}"/>
    <hyperlink ref="Q31" r:id="rId23" xr:uid="{00000000-0004-0000-0200-000016000000}"/>
    <hyperlink ref="Q33" r:id="rId24" xr:uid="{00000000-0004-0000-0200-000017000000}"/>
    <hyperlink ref="Q34" r:id="rId25" xr:uid="{00000000-0004-0000-0200-000018000000}"/>
    <hyperlink ref="Q36" r:id="rId26" xr:uid="{00000000-0004-0000-0200-000019000000}"/>
    <hyperlink ref="Q37" r:id="rId27" xr:uid="{00000000-0004-0000-0200-00001A000000}"/>
    <hyperlink ref="Q39" r:id="rId28" xr:uid="{00000000-0004-0000-0200-00001B000000}"/>
    <hyperlink ref="Q41" r:id="rId29" xr:uid="{00000000-0004-0000-0200-00001C000000}"/>
    <hyperlink ref="Q42" r:id="rId30" xr:uid="{00000000-0004-0000-0200-00001D000000}"/>
    <hyperlink ref="Q43" r:id="rId31" xr:uid="{00000000-0004-0000-0200-00001E000000}"/>
    <hyperlink ref="Q44" r:id="rId32" xr:uid="{00000000-0004-0000-0200-00001F000000}"/>
    <hyperlink ref="Q46" r:id="rId33" xr:uid="{00000000-0004-0000-0200-000020000000}"/>
    <hyperlink ref="Q47" r:id="rId34" xr:uid="{00000000-0004-0000-0200-000021000000}"/>
    <hyperlink ref="Q48" r:id="rId35" xr:uid="{00000000-0004-0000-0200-000022000000}"/>
    <hyperlink ref="Q49" r:id="rId36" xr:uid="{00000000-0004-0000-0200-000023000000}"/>
    <hyperlink ref="Q52" r:id="rId37" xr:uid="{00000000-0004-0000-0200-000024000000}"/>
    <hyperlink ref="Q53" r:id="rId38" xr:uid="{00000000-0004-0000-0200-000025000000}"/>
    <hyperlink ref="Q54" r:id="rId39" xr:uid="{00000000-0004-0000-0200-000026000000}"/>
    <hyperlink ref="Q55" r:id="rId40" xr:uid="{00000000-0004-0000-0200-000027000000}"/>
    <hyperlink ref="Q56" r:id="rId41" xr:uid="{00000000-0004-0000-0200-000028000000}"/>
    <hyperlink ref="Q57" r:id="rId42" xr:uid="{00000000-0004-0000-0200-000029000000}"/>
    <hyperlink ref="Q58" r:id="rId43" xr:uid="{00000000-0004-0000-0200-00002A000000}"/>
    <hyperlink ref="Q59" r:id="rId44" xr:uid="{00000000-0004-0000-0200-00002B000000}"/>
    <hyperlink ref="Q60" r:id="rId45" xr:uid="{00000000-0004-0000-0200-00002C000000}"/>
    <hyperlink ref="Q63" r:id="rId46" xr:uid="{00000000-0004-0000-0200-00002D000000}"/>
    <hyperlink ref="Q64" r:id="rId47" xr:uid="{00000000-0004-0000-0200-00002E000000}"/>
    <hyperlink ref="Q65" r:id="rId48" xr:uid="{00000000-0004-0000-0200-00002F000000}"/>
    <hyperlink ref="Q66" r:id="rId49" xr:uid="{00000000-0004-0000-0200-000030000000}"/>
    <hyperlink ref="Q67" r:id="rId50" xr:uid="{00000000-0004-0000-0200-000031000000}"/>
    <hyperlink ref="Q68" r:id="rId51" xr:uid="{00000000-0004-0000-0200-000032000000}"/>
    <hyperlink ref="Q69" r:id="rId52" xr:uid="{00000000-0004-0000-0200-000033000000}"/>
    <hyperlink ref="Q70" r:id="rId53" xr:uid="{00000000-0004-0000-0200-000034000000}"/>
    <hyperlink ref="Q71" r:id="rId54" xr:uid="{00000000-0004-0000-0200-000035000000}"/>
    <hyperlink ref="Q72" r:id="rId55" xr:uid="{00000000-0004-0000-0200-000036000000}"/>
    <hyperlink ref="Q74" r:id="rId56" xr:uid="{00000000-0004-0000-0200-000037000000}"/>
    <hyperlink ref="Q75" r:id="rId57" xr:uid="{00000000-0004-0000-0200-000038000000}"/>
    <hyperlink ref="Q76" r:id="rId58" xr:uid="{00000000-0004-0000-0200-000039000000}"/>
    <hyperlink ref="Q77" r:id="rId59" xr:uid="{00000000-0004-0000-0200-00003A000000}"/>
    <hyperlink ref="Q78" r:id="rId60" xr:uid="{00000000-0004-0000-0200-00003B000000}"/>
    <hyperlink ref="Q80" r:id="rId61" xr:uid="{00000000-0004-0000-0200-00003C000000}"/>
    <hyperlink ref="Q81" r:id="rId62" xr:uid="{00000000-0004-0000-0200-00003D000000}"/>
    <hyperlink ref="Q82" r:id="rId63" xr:uid="{00000000-0004-0000-0200-00003E000000}"/>
    <hyperlink ref="Q83" r:id="rId64" xr:uid="{00000000-0004-0000-0200-00003F000000}"/>
    <hyperlink ref="Q84" r:id="rId65" xr:uid="{00000000-0004-0000-0200-000040000000}"/>
    <hyperlink ref="Q85" r:id="rId66" xr:uid="{00000000-0004-0000-0200-000041000000}"/>
    <hyperlink ref="Q87" r:id="rId67" xr:uid="{00000000-0004-0000-0200-000042000000}"/>
    <hyperlink ref="Q89" r:id="rId68" xr:uid="{00000000-0004-0000-0200-000043000000}"/>
    <hyperlink ref="Q92" r:id="rId69" xr:uid="{00000000-0004-0000-0200-000044000000}"/>
    <hyperlink ref="Q93" r:id="rId70" xr:uid="{00000000-0004-0000-0200-000045000000}"/>
    <hyperlink ref="Q94" r:id="rId71" xr:uid="{00000000-0004-0000-0200-000046000000}"/>
    <hyperlink ref="Q95" r:id="rId72" xr:uid="{00000000-0004-0000-0200-000047000000}"/>
    <hyperlink ref="Q96" r:id="rId73" xr:uid="{00000000-0004-0000-0200-000048000000}"/>
    <hyperlink ref="Q97" r:id="rId74" xr:uid="{00000000-0004-0000-0200-000049000000}"/>
    <hyperlink ref="Q98" r:id="rId75" xr:uid="{00000000-0004-0000-0200-00004A000000}"/>
    <hyperlink ref="Q101" r:id="rId76" xr:uid="{00000000-0004-0000-0200-00004B000000}"/>
    <hyperlink ref="Q103" r:id="rId77" xr:uid="{00000000-0004-0000-0200-00004C000000}"/>
    <hyperlink ref="Q104" r:id="rId78" xr:uid="{00000000-0004-0000-0200-00004D000000}"/>
    <hyperlink ref="Q105" r:id="rId79" xr:uid="{00000000-0004-0000-0200-00004E000000}"/>
    <hyperlink ref="Q106" r:id="rId80" xr:uid="{00000000-0004-0000-0200-00004F000000}"/>
    <hyperlink ref="Q107" r:id="rId81" xr:uid="{00000000-0004-0000-0200-000050000000}"/>
    <hyperlink ref="Q109" r:id="rId82" xr:uid="{00000000-0004-0000-0200-000051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109"/>
  <sheetViews>
    <sheetView zoomScaleNormal="100" workbookViewId="0">
      <pane xSplit="2" ySplit="7" topLeftCell="C8" activePane="bottomRight" state="frozen"/>
      <selection pane="topRight" activeCell="C1" sqref="C1"/>
      <selection pane="bottomLeft" activeCell="A8" sqref="A8"/>
      <selection pane="bottomRight"/>
    </sheetView>
  </sheetViews>
  <sheetFormatPr baseColWidth="10" defaultColWidth="8.6640625" defaultRowHeight="15"/>
  <cols>
    <col min="1" max="1" width="3" customWidth="1"/>
    <col min="2" max="2" width="7" customWidth="1"/>
    <col min="3" max="3" width="46" customWidth="1"/>
    <col min="4" max="4" width="7" customWidth="1"/>
    <col min="5" max="5" width="22" customWidth="1"/>
    <col min="6" max="8" width="8" customWidth="1"/>
    <col min="9" max="9" width="14" customWidth="1"/>
    <col min="10" max="12" width="10" customWidth="1"/>
    <col min="13" max="13" width="13" customWidth="1"/>
    <col min="14" max="15" width="8" customWidth="1"/>
    <col min="16" max="16" width="32" customWidth="1"/>
    <col min="17" max="17" width="30" customWidth="1"/>
    <col min="18" max="18" width="40" customWidth="1"/>
  </cols>
  <sheetData>
    <row r="1" spans="2:18" ht="7.5" customHeight="1"/>
    <row r="2" spans="2:18" ht="27.75" customHeight="1">
      <c r="B2" s="3" t="s">
        <v>624</v>
      </c>
    </row>
    <row r="3" spans="2:18" ht="18" customHeight="1">
      <c r="B3" s="4" t="s">
        <v>124</v>
      </c>
    </row>
    <row r="5" spans="2:18" ht="15" customHeight="1">
      <c r="B5" s="9" t="s">
        <v>125</v>
      </c>
      <c r="E5" s="9" t="s">
        <v>127</v>
      </c>
      <c r="H5" s="9" t="s">
        <v>129</v>
      </c>
      <c r="K5" s="9" t="s">
        <v>131</v>
      </c>
      <c r="L5">
        <v>2025</v>
      </c>
    </row>
    <row r="7" spans="2:18" ht="36" customHeight="1">
      <c r="B7" s="11" t="s">
        <v>132</v>
      </c>
      <c r="C7" s="11" t="s">
        <v>133</v>
      </c>
      <c r="D7" s="11" t="s">
        <v>58</v>
      </c>
      <c r="E7" s="11" t="s">
        <v>134</v>
      </c>
      <c r="F7" s="11" t="s">
        <v>135</v>
      </c>
      <c r="G7" s="11" t="s">
        <v>136</v>
      </c>
      <c r="H7" s="11" t="s">
        <v>137</v>
      </c>
      <c r="I7" s="11" t="s">
        <v>112</v>
      </c>
      <c r="J7" s="11" t="s">
        <v>138</v>
      </c>
      <c r="K7" s="11" t="s">
        <v>139</v>
      </c>
      <c r="L7" s="11" t="s">
        <v>140</v>
      </c>
      <c r="M7" s="11" t="s">
        <v>141</v>
      </c>
      <c r="N7" s="11" t="s">
        <v>142</v>
      </c>
      <c r="O7" s="11" t="s">
        <v>143</v>
      </c>
      <c r="P7" s="11" t="s">
        <v>144</v>
      </c>
      <c r="Q7" s="11" t="s">
        <v>145</v>
      </c>
      <c r="R7" s="11" t="s">
        <v>146</v>
      </c>
    </row>
    <row r="8" spans="2:18" ht="27.75" customHeight="1">
      <c r="B8" s="35" t="s">
        <v>147</v>
      </c>
      <c r="C8" s="36" t="s">
        <v>148</v>
      </c>
      <c r="D8" s="35" t="s">
        <v>67</v>
      </c>
      <c r="E8" s="35" t="s">
        <v>149</v>
      </c>
      <c r="F8" s="35" t="s">
        <v>150</v>
      </c>
      <c r="G8" s="35"/>
      <c r="H8" s="35">
        <v>3</v>
      </c>
      <c r="I8" s="35"/>
      <c r="J8" s="37" t="str">
        <f>IF(I8="","",IF(Indicators!$H$6&lt;&gt;"Quantitative threshold","",IF(Indicators!$I$6="Higher",IF(N(I8)&gt;=Indicators!$O$6,5,IF(N(I8)&gt;=Indicators!$N$6,4,IF(N(I8)&gt;=Indicators!$M$6,3,IF(N(I8)&gt;=Indicators!$L$6,2,1)))),IF(N(I8)&lt;=Indicators!$O$6,5,IF(N(I8)&lt;=Indicators!$N$6,4,IF(N(I8)&lt;=Indicators!$M$6,3,IF(N(I8)&lt;=Indicators!$L$6,2,1)))))))</f>
        <v/>
      </c>
      <c r="K8" s="35"/>
      <c r="L8" s="37" t="str">
        <f>IF(Indicators!$D$6="C0","",IF(K8&lt;&gt;"",K8,IF(J8&lt;&gt;"",J8,"")))</f>
        <v/>
      </c>
      <c r="M8" s="35"/>
      <c r="N8" s="35"/>
      <c r="O8" s="37" t="str">
        <f t="shared" ref="O8:O39" si="0">IF(N8="","",IF(N8&lt;($L$5-H8),"STALE",""))</f>
        <v/>
      </c>
      <c r="P8" s="35"/>
      <c r="Q8" s="35"/>
      <c r="R8" s="35"/>
    </row>
    <row r="9" spans="2:18" ht="15" customHeight="1">
      <c r="B9" s="35" t="s">
        <v>155</v>
      </c>
      <c r="C9" s="36" t="s">
        <v>156</v>
      </c>
      <c r="D9" s="35" t="s">
        <v>67</v>
      </c>
      <c r="E9" s="35" t="s">
        <v>149</v>
      </c>
      <c r="F9" s="35" t="s">
        <v>150</v>
      </c>
      <c r="G9" s="35"/>
      <c r="H9" s="35">
        <v>3</v>
      </c>
      <c r="I9" s="35"/>
      <c r="J9" s="37" t="str">
        <f>IF(I9="","",IF(Indicators!$H$7&lt;&gt;"Quantitative threshold","",IF(Indicators!$I$7="Higher",IF(N(I9)&gt;=Indicators!$O$7,5,IF(N(I9)&gt;=Indicators!$N$7,4,IF(N(I9)&gt;=Indicators!$M$7,3,IF(N(I9)&gt;=Indicators!$L$7,2,1)))),IF(N(I9)&lt;=Indicators!$O$7,5,IF(N(I9)&lt;=Indicators!$N$7,4,IF(N(I9)&lt;=Indicators!$M$7,3,IF(N(I9)&lt;=Indicators!$L$7,2,1)))))))</f>
        <v/>
      </c>
      <c r="K9" s="35"/>
      <c r="L9" s="37" t="str">
        <f>IF(Indicators!$D$7="C0","",IF(K9&lt;&gt;"",K9,IF(J9&lt;&gt;"",J9,"")))</f>
        <v/>
      </c>
      <c r="M9" s="35"/>
      <c r="N9" s="35"/>
      <c r="O9" s="37" t="str">
        <f t="shared" si="0"/>
        <v/>
      </c>
      <c r="P9" s="35"/>
      <c r="Q9" s="35"/>
      <c r="R9" s="35"/>
    </row>
    <row r="10" spans="2:18" ht="15" customHeight="1">
      <c r="B10" s="35" t="s">
        <v>160</v>
      </c>
      <c r="C10" s="36" t="s">
        <v>161</v>
      </c>
      <c r="D10" s="35" t="s">
        <v>67</v>
      </c>
      <c r="E10" s="35" t="s">
        <v>149</v>
      </c>
      <c r="F10" s="35" t="s">
        <v>150</v>
      </c>
      <c r="G10" s="35"/>
      <c r="H10" s="35">
        <v>3</v>
      </c>
      <c r="I10" s="35"/>
      <c r="J10" s="37" t="str">
        <f>IF(I10="","",IF(Indicators!$H$8&lt;&gt;"Quantitative threshold","",IF(Indicators!$I$8="Higher",IF(N(I10)&gt;=Indicators!$O$8,5,IF(N(I10)&gt;=Indicators!$N$8,4,IF(N(I10)&gt;=Indicators!$M$8,3,IF(N(I10)&gt;=Indicators!$L$8,2,1)))),IF(N(I10)&lt;=Indicators!$O$8,5,IF(N(I10)&lt;=Indicators!$N$8,4,IF(N(I10)&lt;=Indicators!$M$8,3,IF(N(I10)&lt;=Indicators!$L$8,2,1)))))))</f>
        <v/>
      </c>
      <c r="K10" s="35"/>
      <c r="L10" s="37" t="str">
        <f>IF(Indicators!$D$8="C0","",IF(K10&lt;&gt;"",K10,IF(J10&lt;&gt;"",J10,"")))</f>
        <v/>
      </c>
      <c r="M10" s="35"/>
      <c r="N10" s="35"/>
      <c r="O10" s="37" t="str">
        <f t="shared" si="0"/>
        <v/>
      </c>
      <c r="P10" s="35"/>
      <c r="Q10" s="35"/>
      <c r="R10" s="35"/>
    </row>
    <row r="11" spans="2:18" ht="15" customHeight="1">
      <c r="B11" s="35" t="s">
        <v>166</v>
      </c>
      <c r="C11" s="36" t="s">
        <v>167</v>
      </c>
      <c r="D11" s="35" t="s">
        <v>67</v>
      </c>
      <c r="E11" s="35" t="s">
        <v>149</v>
      </c>
      <c r="F11" s="35" t="s">
        <v>150</v>
      </c>
      <c r="G11" s="35"/>
      <c r="H11" s="35">
        <v>3</v>
      </c>
      <c r="I11" s="35"/>
      <c r="J11" s="37" t="str">
        <f>IF(I11="","",IF(Indicators!$H$9&lt;&gt;"Quantitative threshold","",IF(Indicators!$I$9="Higher",IF(N(I11)&gt;=Indicators!$O$9,5,IF(N(I11)&gt;=Indicators!$N$9,4,IF(N(I11)&gt;=Indicators!$M$9,3,IF(N(I11)&gt;=Indicators!$L$9,2,1)))),IF(N(I11)&lt;=Indicators!$O$9,5,IF(N(I11)&lt;=Indicators!$N$9,4,IF(N(I11)&lt;=Indicators!$M$9,3,IF(N(I11)&lt;=Indicators!$L$9,2,1)))))))</f>
        <v/>
      </c>
      <c r="K11" s="35"/>
      <c r="L11" s="37" t="str">
        <f>IF(Indicators!$D$9="C0","",IF(K11&lt;&gt;"",K11,IF(J11&lt;&gt;"",J11,"")))</f>
        <v/>
      </c>
      <c r="M11" s="35"/>
      <c r="N11" s="35"/>
      <c r="O11" s="37" t="str">
        <f t="shared" si="0"/>
        <v/>
      </c>
      <c r="P11" s="35"/>
      <c r="Q11" s="35"/>
      <c r="R11" s="35"/>
    </row>
    <row r="12" spans="2:18" ht="15" customHeight="1">
      <c r="B12" s="35" t="s">
        <v>171</v>
      </c>
      <c r="C12" s="36" t="s">
        <v>172</v>
      </c>
      <c r="D12" s="35" t="s">
        <v>67</v>
      </c>
      <c r="E12" s="35" t="s">
        <v>149</v>
      </c>
      <c r="F12" s="35" t="s">
        <v>150</v>
      </c>
      <c r="G12" s="35"/>
      <c r="H12" s="35">
        <v>2</v>
      </c>
      <c r="I12" s="35"/>
      <c r="J12" s="37" t="str">
        <f>IF(I12="","",IF(Indicators!$H$10&lt;&gt;"Quantitative threshold","",IF(Indicators!$I$10="Higher",IF(N(I12)&gt;=Indicators!$O$10,5,IF(N(I12)&gt;=Indicators!$N$10,4,IF(N(I12)&gt;=Indicators!$M$10,3,IF(N(I12)&gt;=Indicators!$L$10,2,1)))),IF(N(I12)&lt;=Indicators!$O$10,5,IF(N(I12)&lt;=Indicators!$N$10,4,IF(N(I12)&lt;=Indicators!$M$10,3,IF(N(I12)&lt;=Indicators!$L$10,2,1)))))))</f>
        <v/>
      </c>
      <c r="K12" s="35"/>
      <c r="L12" s="37" t="str">
        <f>IF(Indicators!$D$10="C0","",IF(K12&lt;&gt;"",K12,IF(J12&lt;&gt;"",J12,"")))</f>
        <v/>
      </c>
      <c r="M12" s="35"/>
      <c r="N12" s="35"/>
      <c r="O12" s="37" t="str">
        <f t="shared" si="0"/>
        <v/>
      </c>
      <c r="P12" s="35"/>
      <c r="Q12" s="35"/>
      <c r="R12" s="35"/>
    </row>
    <row r="13" spans="2:18" ht="15" customHeight="1">
      <c r="B13" s="35" t="s">
        <v>177</v>
      </c>
      <c r="C13" s="36" t="s">
        <v>178</v>
      </c>
      <c r="D13" s="35" t="s">
        <v>67</v>
      </c>
      <c r="E13" s="35" t="s">
        <v>149</v>
      </c>
      <c r="F13" s="35" t="s">
        <v>150</v>
      </c>
      <c r="G13" s="35"/>
      <c r="H13" s="35">
        <v>2</v>
      </c>
      <c r="I13" s="35"/>
      <c r="J13" s="37" t="str">
        <f>IF(I13="","",IF(Indicators!$H$11&lt;&gt;"Quantitative threshold","",IF(Indicators!$I$11="Higher",IF(N(I13)&gt;=Indicators!$O$11,5,IF(N(I13)&gt;=Indicators!$N$11,4,IF(N(I13)&gt;=Indicators!$M$11,3,IF(N(I13)&gt;=Indicators!$L$11,2,1)))),IF(N(I13)&lt;=Indicators!$O$11,5,IF(N(I13)&lt;=Indicators!$N$11,4,IF(N(I13)&lt;=Indicators!$M$11,3,IF(N(I13)&lt;=Indicators!$L$11,2,1)))))))</f>
        <v/>
      </c>
      <c r="K13" s="35"/>
      <c r="L13" s="37" t="str">
        <f>IF(Indicators!$D$11="C0","",IF(K13&lt;&gt;"",K13,IF(J13&lt;&gt;"",J13,"")))</f>
        <v/>
      </c>
      <c r="M13" s="35"/>
      <c r="N13" s="35"/>
      <c r="O13" s="37" t="str">
        <f t="shared" si="0"/>
        <v/>
      </c>
      <c r="P13" s="35"/>
      <c r="Q13" s="35"/>
      <c r="R13" s="35"/>
    </row>
    <row r="14" spans="2:18" ht="15" customHeight="1">
      <c r="B14" s="35" t="s">
        <v>183</v>
      </c>
      <c r="C14" s="36" t="s">
        <v>184</v>
      </c>
      <c r="D14" s="35" t="s">
        <v>67</v>
      </c>
      <c r="E14" s="35" t="s">
        <v>149</v>
      </c>
      <c r="F14" s="35" t="s">
        <v>150</v>
      </c>
      <c r="G14" s="35"/>
      <c r="H14" s="35">
        <v>2</v>
      </c>
      <c r="I14" s="35"/>
      <c r="J14" s="37" t="str">
        <f>IF(I14="","",IF(Indicators!$H$12&lt;&gt;"Quantitative threshold","",IF(Indicators!$I$12="Higher",IF(N(I14)&gt;=Indicators!$O$12,5,IF(N(I14)&gt;=Indicators!$N$12,4,IF(N(I14)&gt;=Indicators!$M$12,3,IF(N(I14)&gt;=Indicators!$L$12,2,1)))),IF(N(I14)&lt;=Indicators!$O$12,5,IF(N(I14)&lt;=Indicators!$N$12,4,IF(N(I14)&lt;=Indicators!$M$12,3,IF(N(I14)&lt;=Indicators!$L$12,2,1)))))))</f>
        <v/>
      </c>
      <c r="K14" s="35"/>
      <c r="L14" s="37" t="str">
        <f>IF(Indicators!$D$12="C0","",IF(K14&lt;&gt;"",K14,IF(J14&lt;&gt;"",J14,"")))</f>
        <v/>
      </c>
      <c r="M14" s="35"/>
      <c r="N14" s="35"/>
      <c r="O14" s="37" t="str">
        <f t="shared" si="0"/>
        <v/>
      </c>
      <c r="P14" s="35"/>
      <c r="Q14" s="35"/>
      <c r="R14" s="35"/>
    </row>
    <row r="15" spans="2:18" ht="27.75" customHeight="1">
      <c r="B15" s="35" t="s">
        <v>189</v>
      </c>
      <c r="C15" s="36" t="s">
        <v>190</v>
      </c>
      <c r="D15" s="35" t="s">
        <v>67</v>
      </c>
      <c r="E15" s="35" t="s">
        <v>149</v>
      </c>
      <c r="F15" s="35" t="s">
        <v>150</v>
      </c>
      <c r="G15" s="35"/>
      <c r="H15" s="35">
        <v>2</v>
      </c>
      <c r="I15" s="35"/>
      <c r="J15" s="37" t="str">
        <f>IF(I15="","",IF(Indicators!$H$13&lt;&gt;"Quantitative threshold","",IF(Indicators!$I$13="Higher",IF(N(I15)&gt;=Indicators!$O$13,5,IF(N(I15)&gt;=Indicators!$N$13,4,IF(N(I15)&gt;=Indicators!$M$13,3,IF(N(I15)&gt;=Indicators!$L$13,2,1)))),IF(N(I15)&lt;=Indicators!$O$13,5,IF(N(I15)&lt;=Indicators!$N$13,4,IF(N(I15)&lt;=Indicators!$M$13,3,IF(N(I15)&lt;=Indicators!$L$13,2,1)))))))</f>
        <v/>
      </c>
      <c r="K15" s="35"/>
      <c r="L15" s="37" t="str">
        <f>IF(Indicators!$D$13="C0","",IF(K15&lt;&gt;"",K15,IF(J15&lt;&gt;"",J15,"")))</f>
        <v/>
      </c>
      <c r="M15" s="35"/>
      <c r="N15" s="35"/>
      <c r="O15" s="37" t="str">
        <f t="shared" si="0"/>
        <v/>
      </c>
      <c r="P15" s="35"/>
      <c r="Q15" s="35"/>
      <c r="R15" s="35"/>
    </row>
    <row r="16" spans="2:18" ht="27.75" customHeight="1">
      <c r="B16" s="35" t="s">
        <v>194</v>
      </c>
      <c r="C16" s="36" t="s">
        <v>195</v>
      </c>
      <c r="D16" s="35" t="s">
        <v>77</v>
      </c>
      <c r="E16" s="35" t="s">
        <v>196</v>
      </c>
      <c r="F16" s="35" t="s">
        <v>150</v>
      </c>
      <c r="G16" s="35"/>
      <c r="H16" s="35">
        <v>2</v>
      </c>
      <c r="I16" s="35"/>
      <c r="J16" s="37" t="str">
        <f>IF(I16="","",IF(Indicators!$H$14&lt;&gt;"Quantitative threshold","",IF(Indicators!$I$14="Higher",IF(N(I16)&gt;=Indicators!$O$14,5,IF(N(I16)&gt;=Indicators!$N$14,4,IF(N(I16)&gt;=Indicators!$M$14,3,IF(N(I16)&gt;=Indicators!$L$14,2,1)))),IF(N(I16)&lt;=Indicators!$O$14,5,IF(N(I16)&lt;=Indicators!$N$14,4,IF(N(I16)&lt;=Indicators!$M$14,3,IF(N(I16)&lt;=Indicators!$L$14,2,1)))))))</f>
        <v/>
      </c>
      <c r="K16" s="35"/>
      <c r="L16" s="37" t="str">
        <f>IF(Indicators!$D$14="C0","",IF(K16&lt;&gt;"",K16,IF(J16&lt;&gt;"",J16,"")))</f>
        <v/>
      </c>
      <c r="M16" s="35"/>
      <c r="N16" s="35"/>
      <c r="O16" s="37" t="str">
        <f t="shared" si="0"/>
        <v/>
      </c>
      <c r="P16" s="35"/>
      <c r="Q16" s="35"/>
      <c r="R16" s="35"/>
    </row>
    <row r="17" spans="2:18" ht="15" customHeight="1">
      <c r="B17" s="39" t="s">
        <v>200</v>
      </c>
      <c r="C17" s="36" t="s">
        <v>201</v>
      </c>
      <c r="D17" s="35" t="s">
        <v>70</v>
      </c>
      <c r="E17" s="35" t="s">
        <v>202</v>
      </c>
      <c r="F17" s="35" t="s">
        <v>203</v>
      </c>
      <c r="G17" s="39" t="s">
        <v>204</v>
      </c>
      <c r="H17" s="35">
        <v>3</v>
      </c>
      <c r="I17" s="35"/>
      <c r="J17" s="37" t="str">
        <f>IF(I17="","",IF(Indicators!$H$15&lt;&gt;"Quantitative threshold","",IF(Indicators!$I$15="Higher",IF(N(I17)&gt;=Indicators!$O$15,5,IF(N(I17)&gt;=Indicators!$N$15,4,IF(N(I17)&gt;=Indicators!$M$15,3,IF(N(I17)&gt;=Indicators!$L$15,2,1)))),IF(N(I17)&lt;=Indicators!$O$15,5,IF(N(I17)&lt;=Indicators!$N$15,4,IF(N(I17)&lt;=Indicators!$M$15,3,IF(N(I17)&lt;=Indicators!$L$15,2,1)))))))</f>
        <v/>
      </c>
      <c r="K17" s="35"/>
      <c r="L17" s="37" t="str">
        <f>IF(Indicators!$D$15="C0","",IF(K17&lt;&gt;"",K17,IF(J17&lt;&gt;"",J17,"")))</f>
        <v/>
      </c>
      <c r="M17" s="35"/>
      <c r="N17" s="35"/>
      <c r="O17" s="37" t="str">
        <f t="shared" si="0"/>
        <v/>
      </c>
      <c r="P17" s="35"/>
      <c r="Q17" s="35"/>
      <c r="R17" s="35"/>
    </row>
    <row r="18" spans="2:18" ht="15" customHeight="1">
      <c r="B18" s="35" t="s">
        <v>208</v>
      </c>
      <c r="C18" s="36" t="s">
        <v>209</v>
      </c>
      <c r="D18" s="35" t="s">
        <v>70</v>
      </c>
      <c r="E18" s="35" t="s">
        <v>202</v>
      </c>
      <c r="F18" s="35" t="s">
        <v>203</v>
      </c>
      <c r="G18" s="35"/>
      <c r="H18" s="35">
        <v>3</v>
      </c>
      <c r="I18" s="35"/>
      <c r="J18" s="37" t="str">
        <f>IF(I18="","",IF(Indicators!$H$16&lt;&gt;"Quantitative threshold","",IF(Indicators!$I$16="Higher",IF(N(I18)&gt;=Indicators!$O$16,5,IF(N(I18)&gt;=Indicators!$N$16,4,IF(N(I18)&gt;=Indicators!$M$16,3,IF(N(I18)&gt;=Indicators!$L$16,2,1)))),IF(N(I18)&lt;=Indicators!$O$16,5,IF(N(I18)&lt;=Indicators!$N$16,4,IF(N(I18)&lt;=Indicators!$M$16,3,IF(N(I18)&lt;=Indicators!$L$16,2,1)))))))</f>
        <v/>
      </c>
      <c r="K18" s="35"/>
      <c r="L18" s="37" t="str">
        <f>IF(Indicators!$D$16="C0","",IF(K18&lt;&gt;"",K18,IF(J18&lt;&gt;"",J18,"")))</f>
        <v/>
      </c>
      <c r="M18" s="35"/>
      <c r="N18" s="35"/>
      <c r="O18" s="37" t="str">
        <f t="shared" si="0"/>
        <v/>
      </c>
      <c r="P18" s="35"/>
      <c r="Q18" s="35"/>
      <c r="R18" s="35"/>
    </row>
    <row r="19" spans="2:18" ht="27.75" customHeight="1">
      <c r="B19" s="35" t="s">
        <v>211</v>
      </c>
      <c r="C19" s="36" t="s">
        <v>212</v>
      </c>
      <c r="D19" s="35" t="s">
        <v>70</v>
      </c>
      <c r="E19" s="35" t="s">
        <v>202</v>
      </c>
      <c r="F19" s="35" t="s">
        <v>203</v>
      </c>
      <c r="G19" s="35"/>
      <c r="H19" s="35">
        <v>3</v>
      </c>
      <c r="I19" s="35"/>
      <c r="J19" s="37" t="str">
        <f>IF(I19="","",IF(Indicators!$H$17&lt;&gt;"Quantitative threshold","",IF(Indicators!$I$17="Higher",IF(N(I19)&gt;=Indicators!$O$17,5,IF(N(I19)&gt;=Indicators!$N$17,4,IF(N(I19)&gt;=Indicators!$M$17,3,IF(N(I19)&gt;=Indicators!$L$17,2,1)))),IF(N(I19)&lt;=Indicators!$O$17,5,IF(N(I19)&lt;=Indicators!$N$17,4,IF(N(I19)&lt;=Indicators!$M$17,3,IF(N(I19)&lt;=Indicators!$L$17,2,1)))))))</f>
        <v/>
      </c>
      <c r="K19" s="35"/>
      <c r="L19" s="37" t="str">
        <f>IF(Indicators!$D$17="C0","",IF(K19&lt;&gt;"",K19,IF(J19&lt;&gt;"",J19,"")))</f>
        <v/>
      </c>
      <c r="M19" s="35"/>
      <c r="N19" s="35"/>
      <c r="O19" s="37" t="str">
        <f t="shared" si="0"/>
        <v/>
      </c>
      <c r="P19" s="35"/>
      <c r="Q19" s="35"/>
      <c r="R19" s="35"/>
    </row>
    <row r="20" spans="2:18" ht="15" customHeight="1">
      <c r="B20" s="35" t="s">
        <v>214</v>
      </c>
      <c r="C20" s="36" t="s">
        <v>215</v>
      </c>
      <c r="D20" s="35" t="s">
        <v>70</v>
      </c>
      <c r="E20" s="35" t="s">
        <v>202</v>
      </c>
      <c r="F20" s="35" t="s">
        <v>203</v>
      </c>
      <c r="G20" s="35"/>
      <c r="H20" s="35">
        <v>3</v>
      </c>
      <c r="I20" s="35"/>
      <c r="J20" s="37" t="str">
        <f>IF(I20="","",IF(Indicators!$H$18&lt;&gt;"Quantitative threshold","",IF(Indicators!$I$18="Higher",IF(N(I20)&gt;=Indicators!$O$18,5,IF(N(I20)&gt;=Indicators!$N$18,4,IF(N(I20)&gt;=Indicators!$M$18,3,IF(N(I20)&gt;=Indicators!$L$18,2,1)))),IF(N(I20)&lt;=Indicators!$O$18,5,IF(N(I20)&lt;=Indicators!$N$18,4,IF(N(I20)&lt;=Indicators!$M$18,3,IF(N(I20)&lt;=Indicators!$L$18,2,1)))))))</f>
        <v/>
      </c>
      <c r="K20" s="35"/>
      <c r="L20" s="37" t="str">
        <f>IF(Indicators!$D$18="C0","",IF(K20&lt;&gt;"",K20,IF(J20&lt;&gt;"",J20,"")))</f>
        <v/>
      </c>
      <c r="M20" s="35"/>
      <c r="N20" s="35"/>
      <c r="O20" s="37" t="str">
        <f t="shared" si="0"/>
        <v/>
      </c>
      <c r="P20" s="35"/>
      <c r="Q20" s="35"/>
      <c r="R20" s="35"/>
    </row>
    <row r="21" spans="2:18" ht="15" customHeight="1">
      <c r="B21" s="39" t="s">
        <v>219</v>
      </c>
      <c r="C21" s="36" t="s">
        <v>220</v>
      </c>
      <c r="D21" s="35" t="s">
        <v>70</v>
      </c>
      <c r="E21" s="35" t="s">
        <v>202</v>
      </c>
      <c r="F21" s="35" t="s">
        <v>221</v>
      </c>
      <c r="G21" s="39" t="s">
        <v>204</v>
      </c>
      <c r="H21" s="35">
        <v>3</v>
      </c>
      <c r="I21" s="35"/>
      <c r="J21" s="37" t="str">
        <f>IF(I21="","",IF(Indicators!$H$19&lt;&gt;"Quantitative threshold","",IF(Indicators!$I$19="Higher",IF(N(I21)&gt;=Indicators!$O$19,5,IF(N(I21)&gt;=Indicators!$N$19,4,IF(N(I21)&gt;=Indicators!$M$19,3,IF(N(I21)&gt;=Indicators!$L$19,2,1)))),IF(N(I21)&lt;=Indicators!$O$19,5,IF(N(I21)&lt;=Indicators!$N$19,4,IF(N(I21)&lt;=Indicators!$M$19,3,IF(N(I21)&lt;=Indicators!$L$19,2,1)))))))</f>
        <v/>
      </c>
      <c r="K21" s="35"/>
      <c r="L21" s="37" t="str">
        <f>IF(Indicators!$D$19="C0","",IF(K21&lt;&gt;"",K21,IF(J21&lt;&gt;"",J21,"")))</f>
        <v/>
      </c>
      <c r="M21" s="35"/>
      <c r="N21" s="35"/>
      <c r="O21" s="37" t="str">
        <f t="shared" si="0"/>
        <v/>
      </c>
      <c r="P21" s="35"/>
      <c r="Q21" s="35"/>
      <c r="R21" s="35"/>
    </row>
    <row r="22" spans="2:18" ht="15" customHeight="1">
      <c r="B22" s="35" t="s">
        <v>225</v>
      </c>
      <c r="C22" s="36" t="s">
        <v>226</v>
      </c>
      <c r="D22" s="35" t="s">
        <v>70</v>
      </c>
      <c r="E22" s="35" t="s">
        <v>202</v>
      </c>
      <c r="F22" s="35" t="s">
        <v>203</v>
      </c>
      <c r="G22" s="35"/>
      <c r="H22" s="35">
        <v>3</v>
      </c>
      <c r="I22" s="35"/>
      <c r="J22" s="37" t="str">
        <f>IF(I22="","",IF(Indicators!$H$20&lt;&gt;"Quantitative threshold","",IF(Indicators!$I$20="Higher",IF(N(I22)&gt;=Indicators!$O$20,5,IF(N(I22)&gt;=Indicators!$N$20,4,IF(N(I22)&gt;=Indicators!$M$20,3,IF(N(I22)&gt;=Indicators!$L$20,2,1)))),IF(N(I22)&lt;=Indicators!$O$20,5,IF(N(I22)&lt;=Indicators!$N$20,4,IF(N(I22)&lt;=Indicators!$M$20,3,IF(N(I22)&lt;=Indicators!$L$20,2,1)))))))</f>
        <v/>
      </c>
      <c r="K22" s="35"/>
      <c r="L22" s="37" t="str">
        <f>IF(Indicators!$D$20="C0","",IF(K22&lt;&gt;"",K22,IF(J22&lt;&gt;"",J22,"")))</f>
        <v/>
      </c>
      <c r="M22" s="35"/>
      <c r="N22" s="35"/>
      <c r="O22" s="37" t="str">
        <f t="shared" si="0"/>
        <v/>
      </c>
      <c r="P22" s="35"/>
      <c r="Q22" s="35"/>
      <c r="R22" s="35"/>
    </row>
    <row r="23" spans="2:18" ht="27.75" customHeight="1">
      <c r="B23" s="35" t="s">
        <v>230</v>
      </c>
      <c r="C23" s="36" t="s">
        <v>231</v>
      </c>
      <c r="D23" s="35" t="s">
        <v>70</v>
      </c>
      <c r="E23" s="35" t="s">
        <v>202</v>
      </c>
      <c r="F23" s="35" t="s">
        <v>203</v>
      </c>
      <c r="G23" s="35"/>
      <c r="H23" s="35">
        <v>2</v>
      </c>
      <c r="I23" s="35"/>
      <c r="J23" s="37" t="str">
        <f>IF(I23="","",IF(Indicators!$H$21&lt;&gt;"Quantitative threshold","",IF(Indicators!$I$21="Higher",IF(N(I23)&gt;=Indicators!$O$21,5,IF(N(I23)&gt;=Indicators!$N$21,4,IF(N(I23)&gt;=Indicators!$M$21,3,IF(N(I23)&gt;=Indicators!$L$21,2,1)))),IF(N(I23)&lt;=Indicators!$O$21,5,IF(N(I23)&lt;=Indicators!$N$21,4,IF(N(I23)&lt;=Indicators!$M$21,3,IF(N(I23)&lt;=Indicators!$L$21,2,1)))))))</f>
        <v/>
      </c>
      <c r="K23" s="35"/>
      <c r="L23" s="37" t="str">
        <f>IF(Indicators!$D$21="C0","",IF(K23&lt;&gt;"",K23,IF(J23&lt;&gt;"",J23,"")))</f>
        <v/>
      </c>
      <c r="M23" s="35"/>
      <c r="N23" s="35"/>
      <c r="O23" s="37" t="str">
        <f t="shared" si="0"/>
        <v/>
      </c>
      <c r="P23" s="35"/>
      <c r="Q23" s="35"/>
      <c r="R23" s="35"/>
    </row>
    <row r="24" spans="2:18" ht="15" customHeight="1">
      <c r="B24" s="35" t="s">
        <v>235</v>
      </c>
      <c r="C24" s="36" t="s">
        <v>236</v>
      </c>
      <c r="D24" s="35" t="s">
        <v>70</v>
      </c>
      <c r="E24" s="35" t="s">
        <v>202</v>
      </c>
      <c r="F24" s="35" t="s">
        <v>221</v>
      </c>
      <c r="G24" s="35"/>
      <c r="H24" s="35">
        <v>2</v>
      </c>
      <c r="I24" s="35"/>
      <c r="J24" s="37" t="str">
        <f>IF(I24="","",IF(Indicators!$H$22&lt;&gt;"Quantitative threshold","",IF(Indicators!$I$22="Higher",IF(N(I24)&gt;=Indicators!$O$22,5,IF(N(I24)&gt;=Indicators!$N$22,4,IF(N(I24)&gt;=Indicators!$M$22,3,IF(N(I24)&gt;=Indicators!$L$22,2,1)))),IF(N(I24)&lt;=Indicators!$O$22,5,IF(N(I24)&lt;=Indicators!$N$22,4,IF(N(I24)&lt;=Indicators!$M$22,3,IF(N(I24)&lt;=Indicators!$L$22,2,1)))))))</f>
        <v/>
      </c>
      <c r="K24" s="35"/>
      <c r="L24" s="37" t="str">
        <f>IF(Indicators!$D$22="C0","",IF(K24&lt;&gt;"",K24,IF(J24&lt;&gt;"",J24,"")))</f>
        <v/>
      </c>
      <c r="M24" s="35"/>
      <c r="N24" s="35"/>
      <c r="O24" s="37" t="str">
        <f t="shared" si="0"/>
        <v/>
      </c>
      <c r="P24" s="35"/>
      <c r="Q24" s="35"/>
      <c r="R24" s="35"/>
    </row>
    <row r="25" spans="2:18" ht="15" customHeight="1">
      <c r="B25" s="39" t="s">
        <v>239</v>
      </c>
      <c r="C25" s="36" t="s">
        <v>240</v>
      </c>
      <c r="D25" s="35" t="s">
        <v>70</v>
      </c>
      <c r="E25" s="35" t="s">
        <v>202</v>
      </c>
      <c r="F25" s="35" t="s">
        <v>203</v>
      </c>
      <c r="G25" s="39" t="s">
        <v>204</v>
      </c>
      <c r="H25" s="35">
        <v>2</v>
      </c>
      <c r="I25" s="35"/>
      <c r="J25" s="37" t="str">
        <f>IF(I25="","",IF(Indicators!$H$23&lt;&gt;"Quantitative threshold","",IF(Indicators!$I$23="Higher",IF(N(I25)&gt;=Indicators!$O$23,5,IF(N(I25)&gt;=Indicators!$N$23,4,IF(N(I25)&gt;=Indicators!$M$23,3,IF(N(I25)&gt;=Indicators!$L$23,2,1)))),IF(N(I25)&lt;=Indicators!$O$23,5,IF(N(I25)&lt;=Indicators!$N$23,4,IF(N(I25)&lt;=Indicators!$M$23,3,IF(N(I25)&lt;=Indicators!$L$23,2,1)))))))</f>
        <v/>
      </c>
      <c r="K25" s="35"/>
      <c r="L25" s="37" t="str">
        <f>IF(Indicators!$D$23="C0","",IF(K25&lt;&gt;"",K25,IF(J25&lt;&gt;"",J25,"")))</f>
        <v/>
      </c>
      <c r="M25" s="35"/>
      <c r="N25" s="35"/>
      <c r="O25" s="37" t="str">
        <f t="shared" si="0"/>
        <v/>
      </c>
      <c r="P25" s="35"/>
      <c r="Q25" s="35"/>
      <c r="R25" s="35"/>
    </row>
    <row r="26" spans="2:18" ht="15" customHeight="1">
      <c r="B26" s="35" t="s">
        <v>244</v>
      </c>
      <c r="C26" s="36" t="s">
        <v>245</v>
      </c>
      <c r="D26" s="35" t="s">
        <v>70</v>
      </c>
      <c r="E26" s="35" t="s">
        <v>202</v>
      </c>
      <c r="F26" s="35" t="s">
        <v>203</v>
      </c>
      <c r="G26" s="35"/>
      <c r="H26" s="35">
        <v>2</v>
      </c>
      <c r="I26" s="35"/>
      <c r="J26" s="37" t="str">
        <f>IF(I26="","",IF(Indicators!$H$24&lt;&gt;"Quantitative threshold","",IF(Indicators!$I$24="Higher",IF(N(I26)&gt;=Indicators!$O$24,5,IF(N(I26)&gt;=Indicators!$N$24,4,IF(N(I26)&gt;=Indicators!$M$24,3,IF(N(I26)&gt;=Indicators!$L$24,2,1)))),IF(N(I26)&lt;=Indicators!$O$24,5,IF(N(I26)&lt;=Indicators!$N$24,4,IF(N(I26)&lt;=Indicators!$M$24,3,IF(N(I26)&lt;=Indicators!$L$24,2,1)))))))</f>
        <v/>
      </c>
      <c r="K26" s="35"/>
      <c r="L26" s="37" t="str">
        <f>IF(Indicators!$D$24="C0","",IF(K26&lt;&gt;"",K26,IF(J26&lt;&gt;"",J26,"")))</f>
        <v/>
      </c>
      <c r="M26" s="35"/>
      <c r="N26" s="35"/>
      <c r="O26" s="37" t="str">
        <f t="shared" si="0"/>
        <v/>
      </c>
      <c r="P26" s="35"/>
      <c r="Q26" s="35"/>
      <c r="R26" s="35"/>
    </row>
    <row r="27" spans="2:18" ht="15" customHeight="1">
      <c r="B27" s="35" t="s">
        <v>249</v>
      </c>
      <c r="C27" s="36" t="s">
        <v>250</v>
      </c>
      <c r="D27" s="35" t="s">
        <v>70</v>
      </c>
      <c r="E27" s="35" t="s">
        <v>196</v>
      </c>
      <c r="F27" s="35" t="s">
        <v>150</v>
      </c>
      <c r="G27" s="35"/>
      <c r="H27" s="35">
        <v>2</v>
      </c>
      <c r="I27" s="35"/>
      <c r="J27" s="37" t="str">
        <f>IF(I27="","",IF(Indicators!$H$25&lt;&gt;"Quantitative threshold","",IF(Indicators!$I$25="Higher",IF(N(I27)&gt;=Indicators!$O$25,5,IF(N(I27)&gt;=Indicators!$N$25,4,IF(N(I27)&gt;=Indicators!$M$25,3,IF(N(I27)&gt;=Indicators!$L$25,2,1)))),IF(N(I27)&lt;=Indicators!$O$25,5,IF(N(I27)&lt;=Indicators!$N$25,4,IF(N(I27)&lt;=Indicators!$M$25,3,IF(N(I27)&lt;=Indicators!$L$25,2,1)))))))</f>
        <v/>
      </c>
      <c r="K27" s="35"/>
      <c r="L27" s="37" t="str">
        <f>IF(Indicators!$D$25="C0","",IF(K27&lt;&gt;"",K27,IF(J27&lt;&gt;"",J27,"")))</f>
        <v/>
      </c>
      <c r="M27" s="35"/>
      <c r="N27" s="35"/>
      <c r="O27" s="37" t="str">
        <f t="shared" si="0"/>
        <v/>
      </c>
      <c r="P27" s="35"/>
      <c r="Q27" s="35"/>
      <c r="R27" s="35"/>
    </row>
    <row r="28" spans="2:18" ht="15" customHeight="1">
      <c r="B28" s="35" t="s">
        <v>253</v>
      </c>
      <c r="C28" s="36" t="s">
        <v>254</v>
      </c>
      <c r="D28" s="35" t="s">
        <v>73</v>
      </c>
      <c r="E28" s="35" t="s">
        <v>202</v>
      </c>
      <c r="F28" s="35" t="s">
        <v>203</v>
      </c>
      <c r="G28" s="35"/>
      <c r="H28" s="35">
        <v>3</v>
      </c>
      <c r="I28" s="35"/>
      <c r="J28" s="37" t="str">
        <f>IF(I28="","",IF(Indicators!$H$26&lt;&gt;"Quantitative threshold","",IF(Indicators!$I$26="Higher",IF(N(I28)&gt;=Indicators!$O$26,5,IF(N(I28)&gt;=Indicators!$N$26,4,IF(N(I28)&gt;=Indicators!$M$26,3,IF(N(I28)&gt;=Indicators!$L$26,2,1)))),IF(N(I28)&lt;=Indicators!$O$26,5,IF(N(I28)&lt;=Indicators!$N$26,4,IF(N(I28)&lt;=Indicators!$M$26,3,IF(N(I28)&lt;=Indicators!$L$26,2,1)))))))</f>
        <v/>
      </c>
      <c r="K28" s="35"/>
      <c r="L28" s="37" t="str">
        <f>IF(Indicators!$D$26="C0","",IF(K28&lt;&gt;"",K28,IF(J28&lt;&gt;"",J28,"")))</f>
        <v/>
      </c>
      <c r="M28" s="35"/>
      <c r="N28" s="35"/>
      <c r="O28" s="37" t="str">
        <f t="shared" si="0"/>
        <v/>
      </c>
      <c r="P28" s="35"/>
      <c r="Q28" s="35"/>
      <c r="R28" s="35"/>
    </row>
    <row r="29" spans="2:18" ht="15" customHeight="1">
      <c r="B29" s="35" t="s">
        <v>258</v>
      </c>
      <c r="C29" s="36" t="s">
        <v>259</v>
      </c>
      <c r="D29" s="35" t="s">
        <v>73</v>
      </c>
      <c r="E29" s="35" t="s">
        <v>202</v>
      </c>
      <c r="F29" s="35" t="s">
        <v>203</v>
      </c>
      <c r="G29" s="35"/>
      <c r="H29" s="35">
        <v>3</v>
      </c>
      <c r="I29" s="35"/>
      <c r="J29" s="37" t="str">
        <f>IF(I29="","",IF(Indicators!$H$27&lt;&gt;"Quantitative threshold","",IF(Indicators!$I$27="Higher",IF(N(I29)&gt;=Indicators!$O$27,5,IF(N(I29)&gt;=Indicators!$N$27,4,IF(N(I29)&gt;=Indicators!$M$27,3,IF(N(I29)&gt;=Indicators!$L$27,2,1)))),IF(N(I29)&lt;=Indicators!$O$27,5,IF(N(I29)&lt;=Indicators!$N$27,4,IF(N(I29)&lt;=Indicators!$M$27,3,IF(N(I29)&lt;=Indicators!$L$27,2,1)))))))</f>
        <v/>
      </c>
      <c r="K29" s="35"/>
      <c r="L29" s="37" t="str">
        <f>IF(Indicators!$D$27="C0","",IF(K29&lt;&gt;"",K29,IF(J29&lt;&gt;"",J29,"")))</f>
        <v/>
      </c>
      <c r="M29" s="35"/>
      <c r="N29" s="35"/>
      <c r="O29" s="37" t="str">
        <f t="shared" si="0"/>
        <v/>
      </c>
      <c r="P29" s="35"/>
      <c r="Q29" s="35"/>
      <c r="R29" s="35"/>
    </row>
    <row r="30" spans="2:18" ht="15" customHeight="1">
      <c r="B30" s="39" t="s">
        <v>263</v>
      </c>
      <c r="C30" s="36" t="s">
        <v>264</v>
      </c>
      <c r="D30" s="35" t="s">
        <v>73</v>
      </c>
      <c r="E30" s="35" t="s">
        <v>196</v>
      </c>
      <c r="F30" s="35" t="s">
        <v>150</v>
      </c>
      <c r="G30" s="39" t="s">
        <v>204</v>
      </c>
      <c r="H30" s="35">
        <v>2</v>
      </c>
      <c r="I30" s="35"/>
      <c r="J30" s="37" t="str">
        <f>IF(I30="","",IF(Indicators!$H$28&lt;&gt;"Quantitative threshold","",IF(Indicators!$I$28="Higher",IF(N(I30)&gt;=Indicators!$O$28,5,IF(N(I30)&gt;=Indicators!$N$28,4,IF(N(I30)&gt;=Indicators!$M$28,3,IF(N(I30)&gt;=Indicators!$L$28,2,1)))),IF(N(I30)&lt;=Indicators!$O$28,5,IF(N(I30)&lt;=Indicators!$N$28,4,IF(N(I30)&lt;=Indicators!$M$28,3,IF(N(I30)&lt;=Indicators!$L$28,2,1)))))))</f>
        <v/>
      </c>
      <c r="K30" s="35"/>
      <c r="L30" s="37" t="str">
        <f>IF(Indicators!$D$28="C0","",IF(K30&lt;&gt;"",K30,IF(J30&lt;&gt;"",J30,"")))</f>
        <v/>
      </c>
      <c r="M30" s="35"/>
      <c r="N30" s="35"/>
      <c r="O30" s="37" t="str">
        <f t="shared" si="0"/>
        <v/>
      </c>
      <c r="P30" s="35"/>
      <c r="Q30" s="35"/>
      <c r="R30" s="35"/>
    </row>
    <row r="31" spans="2:18" ht="15" customHeight="1">
      <c r="B31" s="35" t="s">
        <v>268</v>
      </c>
      <c r="C31" s="36" t="s">
        <v>269</v>
      </c>
      <c r="D31" s="35" t="s">
        <v>73</v>
      </c>
      <c r="E31" s="35" t="s">
        <v>196</v>
      </c>
      <c r="F31" s="35" t="s">
        <v>150</v>
      </c>
      <c r="G31" s="35"/>
      <c r="H31" s="35">
        <v>2</v>
      </c>
      <c r="I31" s="35"/>
      <c r="J31" s="37" t="str">
        <f>IF(I31="","",IF(Indicators!$H$29&lt;&gt;"Quantitative threshold","",IF(Indicators!$I$29="Higher",IF(N(I31)&gt;=Indicators!$O$29,5,IF(N(I31)&gt;=Indicators!$N$29,4,IF(N(I31)&gt;=Indicators!$M$29,3,IF(N(I31)&gt;=Indicators!$L$29,2,1)))),IF(N(I31)&lt;=Indicators!$O$29,5,IF(N(I31)&lt;=Indicators!$N$29,4,IF(N(I31)&lt;=Indicators!$M$29,3,IF(N(I31)&lt;=Indicators!$L$29,2,1)))))))</f>
        <v/>
      </c>
      <c r="K31" s="35"/>
      <c r="L31" s="37" t="str">
        <f>IF(Indicators!$D$29="C0","",IF(K31&lt;&gt;"",K31,IF(J31&lt;&gt;"",J31,"")))</f>
        <v/>
      </c>
      <c r="M31" s="35"/>
      <c r="N31" s="35"/>
      <c r="O31" s="37" t="str">
        <f t="shared" si="0"/>
        <v/>
      </c>
      <c r="P31" s="35"/>
      <c r="Q31" s="35"/>
      <c r="R31" s="35"/>
    </row>
    <row r="32" spans="2:18" ht="15" customHeight="1">
      <c r="B32" s="35" t="s">
        <v>273</v>
      </c>
      <c r="C32" s="36" t="s">
        <v>274</v>
      </c>
      <c r="D32" s="35" t="s">
        <v>73</v>
      </c>
      <c r="E32" s="35" t="s">
        <v>196</v>
      </c>
      <c r="F32" s="35" t="s">
        <v>150</v>
      </c>
      <c r="G32" s="35"/>
      <c r="H32" s="35">
        <v>2</v>
      </c>
      <c r="I32" s="35"/>
      <c r="J32" s="37" t="str">
        <f>IF(I32="","",IF(Indicators!$H$30&lt;&gt;"Quantitative threshold","",IF(Indicators!$I$30="Higher",IF(N(I32)&gt;=Indicators!$O$30,5,IF(N(I32)&gt;=Indicators!$N$30,4,IF(N(I32)&gt;=Indicators!$M$30,3,IF(N(I32)&gt;=Indicators!$L$30,2,1)))),IF(N(I32)&lt;=Indicators!$O$30,5,IF(N(I32)&lt;=Indicators!$N$30,4,IF(N(I32)&lt;=Indicators!$M$30,3,IF(N(I32)&lt;=Indicators!$L$30,2,1)))))))</f>
        <v/>
      </c>
      <c r="K32" s="35"/>
      <c r="L32" s="37" t="str">
        <f>IF(Indicators!$D$30="C0","",IF(K32&lt;&gt;"",K32,IF(J32&lt;&gt;"",J32,"")))</f>
        <v/>
      </c>
      <c r="M32" s="35"/>
      <c r="N32" s="35"/>
      <c r="O32" s="37" t="str">
        <f t="shared" si="0"/>
        <v/>
      </c>
      <c r="P32" s="35"/>
      <c r="Q32" s="35"/>
      <c r="R32" s="35"/>
    </row>
    <row r="33" spans="2:18" ht="15" customHeight="1">
      <c r="B33" s="35" t="s">
        <v>277</v>
      </c>
      <c r="C33" s="36" t="s">
        <v>278</v>
      </c>
      <c r="D33" s="35" t="s">
        <v>73</v>
      </c>
      <c r="E33" s="35" t="s">
        <v>196</v>
      </c>
      <c r="F33" s="35" t="s">
        <v>150</v>
      </c>
      <c r="G33" s="35"/>
      <c r="H33" s="35">
        <v>2</v>
      </c>
      <c r="I33" s="35"/>
      <c r="J33" s="37" t="str">
        <f>IF(I33="","",IF(Indicators!$H$31&lt;&gt;"Quantitative threshold","",IF(Indicators!$I$31="Higher",IF(N(I33)&gt;=Indicators!$O$31,5,IF(N(I33)&gt;=Indicators!$N$31,4,IF(N(I33)&gt;=Indicators!$M$31,3,IF(N(I33)&gt;=Indicators!$L$31,2,1)))),IF(N(I33)&lt;=Indicators!$O$31,5,IF(N(I33)&lt;=Indicators!$N$31,4,IF(N(I33)&lt;=Indicators!$M$31,3,IF(N(I33)&lt;=Indicators!$L$31,2,1)))))))</f>
        <v/>
      </c>
      <c r="K33" s="35"/>
      <c r="L33" s="37" t="str">
        <f>IF(Indicators!$D$31="C0","",IF(K33&lt;&gt;"",K33,IF(J33&lt;&gt;"",J33,"")))</f>
        <v/>
      </c>
      <c r="M33" s="35"/>
      <c r="N33" s="35"/>
      <c r="O33" s="37" t="str">
        <f t="shared" si="0"/>
        <v/>
      </c>
      <c r="P33" s="35"/>
      <c r="Q33" s="35"/>
      <c r="R33" s="35"/>
    </row>
    <row r="34" spans="2:18" ht="27.75" customHeight="1">
      <c r="B34" s="35" t="s">
        <v>282</v>
      </c>
      <c r="C34" s="36" t="s">
        <v>283</v>
      </c>
      <c r="D34" s="35" t="s">
        <v>73</v>
      </c>
      <c r="E34" s="35" t="s">
        <v>196</v>
      </c>
      <c r="F34" s="35" t="s">
        <v>150</v>
      </c>
      <c r="G34" s="35"/>
      <c r="H34" s="35">
        <v>2</v>
      </c>
      <c r="I34" s="35"/>
      <c r="J34" s="37" t="str">
        <f>IF(I34="","",IF(Indicators!$H$32&lt;&gt;"Quantitative threshold","",IF(Indicators!$I$32="Higher",IF(N(I34)&gt;=Indicators!$O$32,5,IF(N(I34)&gt;=Indicators!$N$32,4,IF(N(I34)&gt;=Indicators!$M$32,3,IF(N(I34)&gt;=Indicators!$L$32,2,1)))),IF(N(I34)&lt;=Indicators!$O$32,5,IF(N(I34)&lt;=Indicators!$N$32,4,IF(N(I34)&lt;=Indicators!$M$32,3,IF(N(I34)&lt;=Indicators!$L$32,2,1)))))))</f>
        <v/>
      </c>
      <c r="K34" s="35"/>
      <c r="L34" s="37" t="str">
        <f>IF(Indicators!$D$32="C0","",IF(K34&lt;&gt;"",K34,IF(J34&lt;&gt;"",J34,"")))</f>
        <v/>
      </c>
      <c r="M34" s="35"/>
      <c r="N34" s="35"/>
      <c r="O34" s="37" t="str">
        <f t="shared" si="0"/>
        <v/>
      </c>
      <c r="P34" s="35"/>
      <c r="Q34" s="35"/>
      <c r="R34" s="35"/>
    </row>
    <row r="35" spans="2:18" ht="15" customHeight="1">
      <c r="B35" s="35" t="s">
        <v>286</v>
      </c>
      <c r="C35" s="36" t="s">
        <v>287</v>
      </c>
      <c r="D35" s="35" t="s">
        <v>73</v>
      </c>
      <c r="E35" s="35" t="s">
        <v>196</v>
      </c>
      <c r="F35" s="35" t="s">
        <v>150</v>
      </c>
      <c r="G35" s="35"/>
      <c r="H35" s="35">
        <v>2</v>
      </c>
      <c r="I35" s="35"/>
      <c r="J35" s="37" t="str">
        <f>IF(I35="","",IF(Indicators!$H$33&lt;&gt;"Quantitative threshold","",IF(Indicators!$I$33="Higher",IF(N(I35)&gt;=Indicators!$O$33,5,IF(N(I35)&gt;=Indicators!$N$33,4,IF(N(I35)&gt;=Indicators!$M$33,3,IF(N(I35)&gt;=Indicators!$L$33,2,1)))),IF(N(I35)&lt;=Indicators!$O$33,5,IF(N(I35)&lt;=Indicators!$N$33,4,IF(N(I35)&lt;=Indicators!$M$33,3,IF(N(I35)&lt;=Indicators!$L$33,2,1)))))))</f>
        <v/>
      </c>
      <c r="K35" s="35"/>
      <c r="L35" s="37" t="str">
        <f>IF(Indicators!$D$33="C0","",IF(K35&lt;&gt;"",K35,IF(J35&lt;&gt;"",J35,"")))</f>
        <v/>
      </c>
      <c r="M35" s="35"/>
      <c r="N35" s="35"/>
      <c r="O35" s="37" t="str">
        <f t="shared" si="0"/>
        <v/>
      </c>
      <c r="P35" s="35"/>
      <c r="Q35" s="35"/>
      <c r="R35" s="35"/>
    </row>
    <row r="36" spans="2:18" ht="15" customHeight="1">
      <c r="B36" s="35" t="s">
        <v>289</v>
      </c>
      <c r="C36" s="36" t="s">
        <v>290</v>
      </c>
      <c r="D36" s="35" t="s">
        <v>73</v>
      </c>
      <c r="E36" s="35" t="s">
        <v>202</v>
      </c>
      <c r="F36" s="35" t="s">
        <v>203</v>
      </c>
      <c r="G36" s="35"/>
      <c r="H36" s="35">
        <v>2</v>
      </c>
      <c r="I36" s="35"/>
      <c r="J36" s="37" t="str">
        <f>IF(I36="","",IF(Indicators!$H$34&lt;&gt;"Quantitative threshold","",IF(Indicators!$I$34="Higher",IF(N(I36)&gt;=Indicators!$O$34,5,IF(N(I36)&gt;=Indicators!$N$34,4,IF(N(I36)&gt;=Indicators!$M$34,3,IF(N(I36)&gt;=Indicators!$L$34,2,1)))),IF(N(I36)&lt;=Indicators!$O$34,5,IF(N(I36)&lt;=Indicators!$N$34,4,IF(N(I36)&lt;=Indicators!$M$34,3,IF(N(I36)&lt;=Indicators!$L$34,2,1)))))))</f>
        <v/>
      </c>
      <c r="K36" s="35"/>
      <c r="L36" s="37" t="str">
        <f>IF(Indicators!$D$34="C0","",IF(K36&lt;&gt;"",K36,IF(J36&lt;&gt;"",J36,"")))</f>
        <v/>
      </c>
      <c r="M36" s="35"/>
      <c r="N36" s="35"/>
      <c r="O36" s="37" t="str">
        <f t="shared" si="0"/>
        <v/>
      </c>
      <c r="P36" s="35"/>
      <c r="Q36" s="35"/>
      <c r="R36" s="35"/>
    </row>
    <row r="37" spans="2:18" ht="27.75" customHeight="1">
      <c r="B37" s="35" t="s">
        <v>295</v>
      </c>
      <c r="C37" s="36" t="s">
        <v>296</v>
      </c>
      <c r="D37" s="35" t="s">
        <v>73</v>
      </c>
      <c r="E37" s="35" t="s">
        <v>196</v>
      </c>
      <c r="F37" s="35" t="s">
        <v>150</v>
      </c>
      <c r="G37" s="35"/>
      <c r="H37" s="35">
        <v>2</v>
      </c>
      <c r="I37" s="35"/>
      <c r="J37" s="37" t="str">
        <f>IF(I37="","",IF(Indicators!$H$35&lt;&gt;"Quantitative threshold","",IF(Indicators!$I$35="Higher",IF(N(I37)&gt;=Indicators!$O$35,5,IF(N(I37)&gt;=Indicators!$N$35,4,IF(N(I37)&gt;=Indicators!$M$35,3,IF(N(I37)&gt;=Indicators!$L$35,2,1)))),IF(N(I37)&lt;=Indicators!$O$35,5,IF(N(I37)&lt;=Indicators!$N$35,4,IF(N(I37)&lt;=Indicators!$M$35,3,IF(N(I37)&lt;=Indicators!$L$35,2,1)))))))</f>
        <v/>
      </c>
      <c r="K37" s="35"/>
      <c r="L37" s="37" t="str">
        <f>IF(Indicators!$D$35="C0","",IF(K37&lt;&gt;"",K37,IF(J37&lt;&gt;"",J37,"")))</f>
        <v/>
      </c>
      <c r="M37" s="35"/>
      <c r="N37" s="35"/>
      <c r="O37" s="37" t="str">
        <f t="shared" si="0"/>
        <v/>
      </c>
      <c r="P37" s="35"/>
      <c r="Q37" s="35"/>
      <c r="R37" s="35"/>
    </row>
    <row r="38" spans="2:18" ht="15" customHeight="1">
      <c r="B38" s="39" t="s">
        <v>300</v>
      </c>
      <c r="C38" s="36" t="s">
        <v>301</v>
      </c>
      <c r="D38" s="35" t="s">
        <v>73</v>
      </c>
      <c r="E38" s="35" t="s">
        <v>196</v>
      </c>
      <c r="F38" s="35" t="s">
        <v>150</v>
      </c>
      <c r="G38" s="39" t="s">
        <v>204</v>
      </c>
      <c r="H38" s="35">
        <v>2</v>
      </c>
      <c r="I38" s="35"/>
      <c r="J38" s="37" t="str">
        <f>IF(I38="","",IF(Indicators!$H$36&lt;&gt;"Quantitative threshold","",IF(Indicators!$I$36="Higher",IF(N(I38)&gt;=Indicators!$O$36,5,IF(N(I38)&gt;=Indicators!$N$36,4,IF(N(I38)&gt;=Indicators!$M$36,3,IF(N(I38)&gt;=Indicators!$L$36,2,1)))),IF(N(I38)&lt;=Indicators!$O$36,5,IF(N(I38)&lt;=Indicators!$N$36,4,IF(N(I38)&lt;=Indicators!$M$36,3,IF(N(I38)&lt;=Indicators!$L$36,2,1)))))))</f>
        <v/>
      </c>
      <c r="K38" s="35"/>
      <c r="L38" s="37" t="str">
        <f>IF(Indicators!$D$36="C0","",IF(K38&lt;&gt;"",K38,IF(J38&lt;&gt;"",J38,"")))</f>
        <v/>
      </c>
      <c r="M38" s="35"/>
      <c r="N38" s="35"/>
      <c r="O38" s="37" t="str">
        <f t="shared" si="0"/>
        <v/>
      </c>
      <c r="P38" s="35"/>
      <c r="Q38" s="35"/>
      <c r="R38" s="35"/>
    </row>
    <row r="39" spans="2:18" ht="15" customHeight="1">
      <c r="B39" s="35" t="s">
        <v>303</v>
      </c>
      <c r="C39" s="36" t="s">
        <v>304</v>
      </c>
      <c r="D39" s="35" t="s">
        <v>73</v>
      </c>
      <c r="E39" s="35" t="s">
        <v>196</v>
      </c>
      <c r="F39" s="35" t="s">
        <v>150</v>
      </c>
      <c r="G39" s="35"/>
      <c r="H39" s="35">
        <v>2</v>
      </c>
      <c r="I39" s="35"/>
      <c r="J39" s="37" t="str">
        <f>IF(I39="","",IF(Indicators!$H$37&lt;&gt;"Quantitative threshold","",IF(Indicators!$I$37="Higher",IF(N(I39)&gt;=Indicators!$O$37,5,IF(N(I39)&gt;=Indicators!$N$37,4,IF(N(I39)&gt;=Indicators!$M$37,3,IF(N(I39)&gt;=Indicators!$L$37,2,1)))),IF(N(I39)&lt;=Indicators!$O$37,5,IF(N(I39)&lt;=Indicators!$N$37,4,IF(N(I39)&lt;=Indicators!$M$37,3,IF(N(I39)&lt;=Indicators!$L$37,2,1)))))))</f>
        <v/>
      </c>
      <c r="K39" s="35"/>
      <c r="L39" s="37" t="str">
        <f>IF(Indicators!$D$37="C0","",IF(K39&lt;&gt;"",K39,IF(J39&lt;&gt;"",J39,"")))</f>
        <v/>
      </c>
      <c r="M39" s="35"/>
      <c r="N39" s="35"/>
      <c r="O39" s="37" t="str">
        <f t="shared" si="0"/>
        <v/>
      </c>
      <c r="P39" s="35"/>
      <c r="Q39" s="35"/>
      <c r="R39" s="35"/>
    </row>
    <row r="40" spans="2:18" ht="27.75" customHeight="1">
      <c r="B40" s="35" t="s">
        <v>307</v>
      </c>
      <c r="C40" s="36" t="s">
        <v>308</v>
      </c>
      <c r="D40" s="35" t="s">
        <v>73</v>
      </c>
      <c r="E40" s="35" t="s">
        <v>202</v>
      </c>
      <c r="F40" s="35" t="s">
        <v>203</v>
      </c>
      <c r="G40" s="35"/>
      <c r="H40" s="35">
        <v>2</v>
      </c>
      <c r="I40" s="35"/>
      <c r="J40" s="37" t="str">
        <f>IF(I40="","",IF(Indicators!$H$38&lt;&gt;"Quantitative threshold","",IF(Indicators!$I$38="Higher",IF(N(I40)&gt;=Indicators!$O$38,5,IF(N(I40)&gt;=Indicators!$N$38,4,IF(N(I40)&gt;=Indicators!$M$38,3,IF(N(I40)&gt;=Indicators!$L$38,2,1)))),IF(N(I40)&lt;=Indicators!$O$38,5,IF(N(I40)&lt;=Indicators!$N$38,4,IF(N(I40)&lt;=Indicators!$M$38,3,IF(N(I40)&lt;=Indicators!$L$38,2,1)))))))</f>
        <v/>
      </c>
      <c r="K40" s="35"/>
      <c r="L40" s="37" t="str">
        <f>IF(Indicators!$D$38="C0","",IF(K40&lt;&gt;"",K40,IF(J40&lt;&gt;"",J40,"")))</f>
        <v/>
      </c>
      <c r="M40" s="35"/>
      <c r="N40" s="35"/>
      <c r="O40" s="37" t="str">
        <f t="shared" ref="O40:O71" si="1">IF(N40="","",IF(N40&lt;($L$5-H40),"STALE",""))</f>
        <v/>
      </c>
      <c r="P40" s="35"/>
      <c r="Q40" s="35"/>
      <c r="R40" s="35"/>
    </row>
    <row r="41" spans="2:18" ht="15" customHeight="1">
      <c r="B41" s="39" t="s">
        <v>311</v>
      </c>
      <c r="C41" s="36" t="s">
        <v>312</v>
      </c>
      <c r="D41" s="35" t="s">
        <v>75</v>
      </c>
      <c r="E41" s="35" t="s">
        <v>196</v>
      </c>
      <c r="F41" s="35" t="s">
        <v>150</v>
      </c>
      <c r="G41" s="39" t="s">
        <v>204</v>
      </c>
      <c r="H41" s="35">
        <v>3</v>
      </c>
      <c r="I41" s="35"/>
      <c r="J41" s="37" t="str">
        <f>IF(I41="","",IF(Indicators!$H$39&lt;&gt;"Quantitative threshold","",IF(Indicators!$I$39="Higher",IF(N(I41)&gt;=Indicators!$O$39,5,IF(N(I41)&gt;=Indicators!$N$39,4,IF(N(I41)&gt;=Indicators!$M$39,3,IF(N(I41)&gt;=Indicators!$L$39,2,1)))),IF(N(I41)&lt;=Indicators!$O$39,5,IF(N(I41)&lt;=Indicators!$N$39,4,IF(N(I41)&lt;=Indicators!$M$39,3,IF(N(I41)&lt;=Indicators!$L$39,2,1)))))))</f>
        <v/>
      </c>
      <c r="K41" s="35"/>
      <c r="L41" s="37" t="str">
        <f>IF(Indicators!$D$39="C0","",IF(K41&lt;&gt;"",K41,IF(J41&lt;&gt;"",J41,"")))</f>
        <v/>
      </c>
      <c r="M41" s="35"/>
      <c r="N41" s="35"/>
      <c r="O41" s="37" t="str">
        <f t="shared" si="1"/>
        <v/>
      </c>
      <c r="P41" s="35"/>
      <c r="Q41" s="35"/>
      <c r="R41" s="35"/>
    </row>
    <row r="42" spans="2:18" ht="15" customHeight="1">
      <c r="B42" s="39" t="s">
        <v>316</v>
      </c>
      <c r="C42" s="36" t="s">
        <v>317</v>
      </c>
      <c r="D42" s="35" t="s">
        <v>75</v>
      </c>
      <c r="E42" s="35" t="s">
        <v>202</v>
      </c>
      <c r="F42" s="35" t="s">
        <v>203</v>
      </c>
      <c r="G42" s="39" t="s">
        <v>204</v>
      </c>
      <c r="H42" s="35">
        <v>3</v>
      </c>
      <c r="I42" s="35"/>
      <c r="J42" s="37" t="str">
        <f>IF(I42="","",IF(Indicators!$H$40&lt;&gt;"Quantitative threshold","",IF(Indicators!$I$40="Higher",IF(N(I42)&gt;=Indicators!$O$40,5,IF(N(I42)&gt;=Indicators!$N$40,4,IF(N(I42)&gt;=Indicators!$M$40,3,IF(N(I42)&gt;=Indicators!$L$40,2,1)))),IF(N(I42)&lt;=Indicators!$O$40,5,IF(N(I42)&lt;=Indicators!$N$40,4,IF(N(I42)&lt;=Indicators!$M$40,3,IF(N(I42)&lt;=Indicators!$L$40,2,1)))))))</f>
        <v/>
      </c>
      <c r="K42" s="35"/>
      <c r="L42" s="37" t="str">
        <f>IF(Indicators!$D$40="C0","",IF(K42&lt;&gt;"",K42,IF(J42&lt;&gt;"",J42,"")))</f>
        <v/>
      </c>
      <c r="M42" s="35"/>
      <c r="N42" s="35"/>
      <c r="O42" s="37" t="str">
        <f t="shared" si="1"/>
        <v/>
      </c>
      <c r="P42" s="35"/>
      <c r="Q42" s="35"/>
      <c r="R42" s="35"/>
    </row>
    <row r="43" spans="2:18" ht="15" customHeight="1">
      <c r="B43" s="35" t="s">
        <v>321</v>
      </c>
      <c r="C43" s="36" t="s">
        <v>322</v>
      </c>
      <c r="D43" s="35" t="s">
        <v>75</v>
      </c>
      <c r="E43" s="35" t="s">
        <v>202</v>
      </c>
      <c r="F43" s="35" t="s">
        <v>203</v>
      </c>
      <c r="G43" s="35"/>
      <c r="H43" s="35">
        <v>3</v>
      </c>
      <c r="I43" s="35"/>
      <c r="J43" s="37" t="str">
        <f>IF(I43="","",IF(Indicators!$H$41&lt;&gt;"Quantitative threshold","",IF(Indicators!$I$41="Higher",IF(N(I43)&gt;=Indicators!$O$41,5,IF(N(I43)&gt;=Indicators!$N$41,4,IF(N(I43)&gt;=Indicators!$M$41,3,IF(N(I43)&gt;=Indicators!$L$41,2,1)))),IF(N(I43)&lt;=Indicators!$O$41,5,IF(N(I43)&lt;=Indicators!$N$41,4,IF(N(I43)&lt;=Indicators!$M$41,3,IF(N(I43)&lt;=Indicators!$L$41,2,1)))))))</f>
        <v/>
      </c>
      <c r="K43" s="35"/>
      <c r="L43" s="37" t="str">
        <f>IF(Indicators!$D$41="C0","",IF(K43&lt;&gt;"",K43,IF(J43&lt;&gt;"",J43,"")))</f>
        <v/>
      </c>
      <c r="M43" s="35"/>
      <c r="N43" s="35"/>
      <c r="O43" s="37" t="str">
        <f t="shared" si="1"/>
        <v/>
      </c>
      <c r="P43" s="35"/>
      <c r="Q43" s="35"/>
      <c r="R43" s="35"/>
    </row>
    <row r="44" spans="2:18" ht="15" customHeight="1">
      <c r="B44" s="35" t="s">
        <v>326</v>
      </c>
      <c r="C44" s="36" t="s">
        <v>327</v>
      </c>
      <c r="D44" s="35" t="s">
        <v>75</v>
      </c>
      <c r="E44" s="35" t="s">
        <v>196</v>
      </c>
      <c r="F44" s="35" t="s">
        <v>150</v>
      </c>
      <c r="G44" s="35"/>
      <c r="H44" s="35">
        <v>2</v>
      </c>
      <c r="I44" s="35"/>
      <c r="J44" s="37" t="str">
        <f>IF(I44="","",IF(Indicators!$H$42&lt;&gt;"Quantitative threshold","",IF(Indicators!$I$42="Higher",IF(N(I44)&gt;=Indicators!$O$42,5,IF(N(I44)&gt;=Indicators!$N$42,4,IF(N(I44)&gt;=Indicators!$M$42,3,IF(N(I44)&gt;=Indicators!$L$42,2,1)))),IF(N(I44)&lt;=Indicators!$O$42,5,IF(N(I44)&lt;=Indicators!$N$42,4,IF(N(I44)&lt;=Indicators!$M$42,3,IF(N(I44)&lt;=Indicators!$L$42,2,1)))))))</f>
        <v/>
      </c>
      <c r="K44" s="35"/>
      <c r="L44" s="37" t="str">
        <f>IF(Indicators!$D$42="C0","",IF(K44&lt;&gt;"",K44,IF(J44&lt;&gt;"",J44,"")))</f>
        <v/>
      </c>
      <c r="M44" s="35"/>
      <c r="N44" s="35"/>
      <c r="O44" s="37" t="str">
        <f t="shared" si="1"/>
        <v/>
      </c>
      <c r="P44" s="35"/>
      <c r="Q44" s="35"/>
      <c r="R44" s="35"/>
    </row>
    <row r="45" spans="2:18" ht="15" customHeight="1">
      <c r="B45" s="39" t="s">
        <v>330</v>
      </c>
      <c r="C45" s="36" t="s">
        <v>331</v>
      </c>
      <c r="D45" s="35" t="s">
        <v>75</v>
      </c>
      <c r="E45" s="35" t="s">
        <v>196</v>
      </c>
      <c r="F45" s="35" t="s">
        <v>150</v>
      </c>
      <c r="G45" s="39" t="s">
        <v>204</v>
      </c>
      <c r="H45" s="35">
        <v>2</v>
      </c>
      <c r="I45" s="35"/>
      <c r="J45" s="37" t="str">
        <f>IF(I45="","",IF(Indicators!$H$43&lt;&gt;"Quantitative threshold","",IF(Indicators!$I$43="Higher",IF(N(I45)&gt;=Indicators!$O$43,5,IF(N(I45)&gt;=Indicators!$N$43,4,IF(N(I45)&gt;=Indicators!$M$43,3,IF(N(I45)&gt;=Indicators!$L$43,2,1)))),IF(N(I45)&lt;=Indicators!$O$43,5,IF(N(I45)&lt;=Indicators!$N$43,4,IF(N(I45)&lt;=Indicators!$M$43,3,IF(N(I45)&lt;=Indicators!$L$43,2,1)))))))</f>
        <v/>
      </c>
      <c r="K45" s="35"/>
      <c r="L45" s="37" t="str">
        <f>IF(Indicators!$D$43="C0","",IF(K45&lt;&gt;"",K45,IF(J45&lt;&gt;"",J45,"")))</f>
        <v/>
      </c>
      <c r="M45" s="35"/>
      <c r="N45" s="35"/>
      <c r="O45" s="37" t="str">
        <f t="shared" si="1"/>
        <v/>
      </c>
      <c r="P45" s="35"/>
      <c r="Q45" s="35"/>
      <c r="R45" s="35"/>
    </row>
    <row r="46" spans="2:18" ht="15" customHeight="1">
      <c r="B46" s="35" t="s">
        <v>333</v>
      </c>
      <c r="C46" s="36" t="s">
        <v>334</v>
      </c>
      <c r="D46" s="35" t="s">
        <v>75</v>
      </c>
      <c r="E46" s="35" t="s">
        <v>196</v>
      </c>
      <c r="F46" s="35" t="s">
        <v>150</v>
      </c>
      <c r="G46" s="35"/>
      <c r="H46" s="35">
        <v>2</v>
      </c>
      <c r="I46" s="35"/>
      <c r="J46" s="37" t="str">
        <f>IF(I46="","",IF(Indicators!$H$44&lt;&gt;"Quantitative threshold","",IF(Indicators!$I$44="Higher",IF(N(I46)&gt;=Indicators!$O$44,5,IF(N(I46)&gt;=Indicators!$N$44,4,IF(N(I46)&gt;=Indicators!$M$44,3,IF(N(I46)&gt;=Indicators!$L$44,2,1)))),IF(N(I46)&lt;=Indicators!$O$44,5,IF(N(I46)&lt;=Indicators!$N$44,4,IF(N(I46)&lt;=Indicators!$M$44,3,IF(N(I46)&lt;=Indicators!$L$44,2,1)))))))</f>
        <v/>
      </c>
      <c r="K46" s="35"/>
      <c r="L46" s="37" t="str">
        <f>IF(Indicators!$D$44="C0","",IF(K46&lt;&gt;"",K46,IF(J46&lt;&gt;"",J46,"")))</f>
        <v/>
      </c>
      <c r="M46" s="35"/>
      <c r="N46" s="35"/>
      <c r="O46" s="37" t="str">
        <f t="shared" si="1"/>
        <v/>
      </c>
      <c r="P46" s="35"/>
      <c r="Q46" s="35"/>
      <c r="R46" s="35"/>
    </row>
    <row r="47" spans="2:18" ht="15" customHeight="1">
      <c r="B47" s="35" t="s">
        <v>338</v>
      </c>
      <c r="C47" s="36" t="s">
        <v>339</v>
      </c>
      <c r="D47" s="35" t="s">
        <v>75</v>
      </c>
      <c r="E47" s="35" t="s">
        <v>202</v>
      </c>
      <c r="F47" s="35" t="s">
        <v>203</v>
      </c>
      <c r="G47" s="35"/>
      <c r="H47" s="35">
        <v>2</v>
      </c>
      <c r="I47" s="35"/>
      <c r="J47" s="37" t="str">
        <f>IF(I47="","",IF(Indicators!$H$45&lt;&gt;"Quantitative threshold","",IF(Indicators!$I$45="Higher",IF(N(I47)&gt;=Indicators!$O$45,5,IF(N(I47)&gt;=Indicators!$N$45,4,IF(N(I47)&gt;=Indicators!$M$45,3,IF(N(I47)&gt;=Indicators!$L$45,2,1)))),IF(N(I47)&lt;=Indicators!$O$45,5,IF(N(I47)&lt;=Indicators!$N$45,4,IF(N(I47)&lt;=Indicators!$M$45,3,IF(N(I47)&lt;=Indicators!$L$45,2,1)))))))</f>
        <v/>
      </c>
      <c r="K47" s="35"/>
      <c r="L47" s="37" t="str">
        <f>IF(Indicators!$D$45="C0","",IF(K47&lt;&gt;"",K47,IF(J47&lt;&gt;"",J47,"")))</f>
        <v/>
      </c>
      <c r="M47" s="35"/>
      <c r="N47" s="35"/>
      <c r="O47" s="37" t="str">
        <f t="shared" si="1"/>
        <v/>
      </c>
      <c r="P47" s="35"/>
      <c r="Q47" s="35"/>
      <c r="R47" s="35"/>
    </row>
    <row r="48" spans="2:18" ht="15" customHeight="1">
      <c r="B48" s="35" t="s">
        <v>343</v>
      </c>
      <c r="C48" s="36" t="s">
        <v>344</v>
      </c>
      <c r="D48" s="35" t="s">
        <v>75</v>
      </c>
      <c r="E48" s="35" t="s">
        <v>196</v>
      </c>
      <c r="F48" s="35" t="s">
        <v>150</v>
      </c>
      <c r="G48" s="35"/>
      <c r="H48" s="35">
        <v>2</v>
      </c>
      <c r="I48" s="35"/>
      <c r="J48" s="37" t="str">
        <f>IF(I48="","",IF(Indicators!$H$46&lt;&gt;"Quantitative threshold","",IF(Indicators!$I$46="Higher",IF(N(I48)&gt;=Indicators!$O$46,5,IF(N(I48)&gt;=Indicators!$N$46,4,IF(N(I48)&gt;=Indicators!$M$46,3,IF(N(I48)&gt;=Indicators!$L$46,2,1)))),IF(N(I48)&lt;=Indicators!$O$46,5,IF(N(I48)&lt;=Indicators!$N$46,4,IF(N(I48)&lt;=Indicators!$M$46,3,IF(N(I48)&lt;=Indicators!$L$46,2,1)))))))</f>
        <v/>
      </c>
      <c r="K48" s="35"/>
      <c r="L48" s="37" t="str">
        <f>IF(Indicators!$D$46="C0","",IF(K48&lt;&gt;"",K48,IF(J48&lt;&gt;"",J48,"")))</f>
        <v/>
      </c>
      <c r="M48" s="35"/>
      <c r="N48" s="35"/>
      <c r="O48" s="37" t="str">
        <f t="shared" si="1"/>
        <v/>
      </c>
      <c r="P48" s="35"/>
      <c r="Q48" s="35"/>
      <c r="R48" s="35"/>
    </row>
    <row r="49" spans="2:18" ht="27.75" customHeight="1">
      <c r="B49" s="39" t="s">
        <v>347</v>
      </c>
      <c r="C49" s="36" t="s">
        <v>348</v>
      </c>
      <c r="D49" s="35" t="s">
        <v>75</v>
      </c>
      <c r="E49" s="35" t="s">
        <v>196</v>
      </c>
      <c r="F49" s="35" t="s">
        <v>150</v>
      </c>
      <c r="G49" s="39" t="s">
        <v>204</v>
      </c>
      <c r="H49" s="35">
        <v>2</v>
      </c>
      <c r="I49" s="35"/>
      <c r="J49" s="37" t="str">
        <f>IF(I49="","",IF(Indicators!$H$47&lt;&gt;"Quantitative threshold","",IF(Indicators!$I$47="Higher",IF(N(I49)&gt;=Indicators!$O$47,5,IF(N(I49)&gt;=Indicators!$N$47,4,IF(N(I49)&gt;=Indicators!$M$47,3,IF(N(I49)&gt;=Indicators!$L$47,2,1)))),IF(N(I49)&lt;=Indicators!$O$47,5,IF(N(I49)&lt;=Indicators!$N$47,4,IF(N(I49)&lt;=Indicators!$M$47,3,IF(N(I49)&lt;=Indicators!$L$47,2,1)))))))</f>
        <v/>
      </c>
      <c r="K49" s="35"/>
      <c r="L49" s="37" t="str">
        <f>IF(Indicators!$D$47="C0","",IF(K49&lt;&gt;"",K49,IF(J49&lt;&gt;"",J49,"")))</f>
        <v/>
      </c>
      <c r="M49" s="35"/>
      <c r="N49" s="35"/>
      <c r="O49" s="37" t="str">
        <f t="shared" si="1"/>
        <v/>
      </c>
      <c r="P49" s="35"/>
      <c r="Q49" s="35"/>
      <c r="R49" s="35"/>
    </row>
    <row r="50" spans="2:18" ht="27.75" customHeight="1">
      <c r="B50" s="35" t="s">
        <v>351</v>
      </c>
      <c r="C50" s="36" t="s">
        <v>352</v>
      </c>
      <c r="D50" s="35" t="s">
        <v>75</v>
      </c>
      <c r="E50" s="35" t="s">
        <v>196</v>
      </c>
      <c r="F50" s="35" t="s">
        <v>150</v>
      </c>
      <c r="G50" s="35"/>
      <c r="H50" s="35">
        <v>2</v>
      </c>
      <c r="I50" s="35"/>
      <c r="J50" s="37" t="str">
        <f>IF(I50="","",IF(Indicators!$H$48&lt;&gt;"Quantitative threshold","",IF(Indicators!$I$48="Higher",IF(N(I50)&gt;=Indicators!$O$48,5,IF(N(I50)&gt;=Indicators!$N$48,4,IF(N(I50)&gt;=Indicators!$M$48,3,IF(N(I50)&gt;=Indicators!$L$48,2,1)))),IF(N(I50)&lt;=Indicators!$O$48,5,IF(N(I50)&lt;=Indicators!$N$48,4,IF(N(I50)&lt;=Indicators!$M$48,3,IF(N(I50)&lt;=Indicators!$L$48,2,1)))))))</f>
        <v/>
      </c>
      <c r="K50" s="35"/>
      <c r="L50" s="37" t="str">
        <f>IF(Indicators!$D$48="C0","",IF(K50&lt;&gt;"",K50,IF(J50&lt;&gt;"",J50,"")))</f>
        <v/>
      </c>
      <c r="M50" s="35"/>
      <c r="N50" s="35"/>
      <c r="O50" s="37" t="str">
        <f t="shared" si="1"/>
        <v/>
      </c>
      <c r="P50" s="35"/>
      <c r="Q50" s="35"/>
      <c r="R50" s="35"/>
    </row>
    <row r="51" spans="2:18" ht="27.75" customHeight="1">
      <c r="B51" s="35" t="s">
        <v>355</v>
      </c>
      <c r="C51" s="36" t="s">
        <v>356</v>
      </c>
      <c r="D51" s="35" t="s">
        <v>75</v>
      </c>
      <c r="E51" s="35" t="s">
        <v>196</v>
      </c>
      <c r="F51" s="35" t="s">
        <v>150</v>
      </c>
      <c r="G51" s="35"/>
      <c r="H51" s="35">
        <v>2</v>
      </c>
      <c r="I51" s="35"/>
      <c r="J51" s="37" t="str">
        <f>IF(I51="","",IF(Indicators!$H$49&lt;&gt;"Quantitative threshold","",IF(Indicators!$I$49="Higher",IF(N(I51)&gt;=Indicators!$O$49,5,IF(N(I51)&gt;=Indicators!$N$49,4,IF(N(I51)&gt;=Indicators!$M$49,3,IF(N(I51)&gt;=Indicators!$L$49,2,1)))),IF(N(I51)&lt;=Indicators!$O$49,5,IF(N(I51)&lt;=Indicators!$N$49,4,IF(N(I51)&lt;=Indicators!$M$49,3,IF(N(I51)&lt;=Indicators!$L$49,2,1)))))))</f>
        <v/>
      </c>
      <c r="K51" s="35"/>
      <c r="L51" s="37" t="str">
        <f>IF(Indicators!$D$49="C0","",IF(K51&lt;&gt;"",K51,IF(J51&lt;&gt;"",J51,"")))</f>
        <v/>
      </c>
      <c r="M51" s="35"/>
      <c r="N51" s="35"/>
      <c r="O51" s="37" t="str">
        <f t="shared" si="1"/>
        <v/>
      </c>
      <c r="P51" s="35"/>
      <c r="Q51" s="35"/>
      <c r="R51" s="35"/>
    </row>
    <row r="52" spans="2:18" ht="15" customHeight="1">
      <c r="B52" s="35" t="s">
        <v>358</v>
      </c>
      <c r="C52" s="36" t="s">
        <v>359</v>
      </c>
      <c r="D52" s="35" t="s">
        <v>75</v>
      </c>
      <c r="E52" s="35" t="s">
        <v>196</v>
      </c>
      <c r="F52" s="35" t="s">
        <v>150</v>
      </c>
      <c r="G52" s="35"/>
      <c r="H52" s="35">
        <v>2</v>
      </c>
      <c r="I52" s="35"/>
      <c r="J52" s="37" t="str">
        <f>IF(I52="","",IF(Indicators!$H$50&lt;&gt;"Quantitative threshold","",IF(Indicators!$I$50="Higher",IF(N(I52)&gt;=Indicators!$O$50,5,IF(N(I52)&gt;=Indicators!$N$50,4,IF(N(I52)&gt;=Indicators!$M$50,3,IF(N(I52)&gt;=Indicators!$L$50,2,1)))),IF(N(I52)&lt;=Indicators!$O$50,5,IF(N(I52)&lt;=Indicators!$N$50,4,IF(N(I52)&lt;=Indicators!$M$50,3,IF(N(I52)&lt;=Indicators!$L$50,2,1)))))))</f>
        <v/>
      </c>
      <c r="K52" s="35"/>
      <c r="L52" s="37" t="str">
        <f>IF(Indicators!$D$50="C0","",IF(K52&lt;&gt;"",K52,IF(J52&lt;&gt;"",J52,"")))</f>
        <v/>
      </c>
      <c r="M52" s="35"/>
      <c r="N52" s="35"/>
      <c r="O52" s="37" t="str">
        <f t="shared" si="1"/>
        <v/>
      </c>
      <c r="P52" s="35"/>
      <c r="Q52" s="35"/>
      <c r="R52" s="35"/>
    </row>
    <row r="53" spans="2:18" ht="15" customHeight="1">
      <c r="B53" s="35" t="s">
        <v>363</v>
      </c>
      <c r="C53" s="36" t="s">
        <v>364</v>
      </c>
      <c r="D53" s="35" t="s">
        <v>75</v>
      </c>
      <c r="E53" s="35" t="s">
        <v>196</v>
      </c>
      <c r="F53" s="35" t="s">
        <v>150</v>
      </c>
      <c r="G53" s="35"/>
      <c r="H53" s="35">
        <v>2</v>
      </c>
      <c r="I53" s="35"/>
      <c r="J53" s="37" t="str">
        <f>IF(I53="","",IF(Indicators!$H$51&lt;&gt;"Quantitative threshold","",IF(Indicators!$I$51="Higher",IF(N(I53)&gt;=Indicators!$O$51,5,IF(N(I53)&gt;=Indicators!$N$51,4,IF(N(I53)&gt;=Indicators!$M$51,3,IF(N(I53)&gt;=Indicators!$L$51,2,1)))),IF(N(I53)&lt;=Indicators!$O$51,5,IF(N(I53)&lt;=Indicators!$N$51,4,IF(N(I53)&lt;=Indicators!$M$51,3,IF(N(I53)&lt;=Indicators!$L$51,2,1)))))))</f>
        <v/>
      </c>
      <c r="K53" s="35"/>
      <c r="L53" s="37" t="str">
        <f>IF(Indicators!$D$51="C0","",IF(K53&lt;&gt;"",K53,IF(J53&lt;&gt;"",J53,"")))</f>
        <v/>
      </c>
      <c r="M53" s="35"/>
      <c r="N53" s="35"/>
      <c r="O53" s="37" t="str">
        <f t="shared" si="1"/>
        <v/>
      </c>
      <c r="P53" s="35"/>
      <c r="Q53" s="35"/>
      <c r="R53" s="35"/>
    </row>
    <row r="54" spans="2:18" ht="15" customHeight="1">
      <c r="B54" s="35" t="s">
        <v>368</v>
      </c>
      <c r="C54" s="36" t="s">
        <v>369</v>
      </c>
      <c r="D54" s="35" t="s">
        <v>77</v>
      </c>
      <c r="E54" s="35" t="s">
        <v>202</v>
      </c>
      <c r="F54" s="35" t="s">
        <v>203</v>
      </c>
      <c r="G54" s="35"/>
      <c r="H54" s="35">
        <v>3</v>
      </c>
      <c r="I54" s="35"/>
      <c r="J54" s="37" t="str">
        <f>IF(I54="","",IF(Indicators!$H$52&lt;&gt;"Quantitative threshold","",IF(Indicators!$I$52="Higher",IF(N(I54)&gt;=Indicators!$O$52,5,IF(N(I54)&gt;=Indicators!$N$52,4,IF(N(I54)&gt;=Indicators!$M$52,3,IF(N(I54)&gt;=Indicators!$L$52,2,1)))),IF(N(I54)&lt;=Indicators!$O$52,5,IF(N(I54)&lt;=Indicators!$N$52,4,IF(N(I54)&lt;=Indicators!$M$52,3,IF(N(I54)&lt;=Indicators!$L$52,2,1)))))))</f>
        <v/>
      </c>
      <c r="K54" s="35"/>
      <c r="L54" s="37" t="str">
        <f>IF(Indicators!$D$52="C0","",IF(K54&lt;&gt;"",K54,IF(J54&lt;&gt;"",J54,"")))</f>
        <v/>
      </c>
      <c r="M54" s="35"/>
      <c r="N54" s="35"/>
      <c r="O54" s="37" t="str">
        <f t="shared" si="1"/>
        <v/>
      </c>
      <c r="P54" s="35"/>
      <c r="Q54" s="35"/>
      <c r="R54" s="35"/>
    </row>
    <row r="55" spans="2:18" ht="15" customHeight="1">
      <c r="B55" s="35" t="s">
        <v>373</v>
      </c>
      <c r="C55" s="36" t="s">
        <v>374</v>
      </c>
      <c r="D55" s="35" t="s">
        <v>77</v>
      </c>
      <c r="E55" s="35" t="s">
        <v>202</v>
      </c>
      <c r="F55" s="35" t="s">
        <v>203</v>
      </c>
      <c r="G55" s="35"/>
      <c r="H55" s="35">
        <v>3</v>
      </c>
      <c r="I55" s="35"/>
      <c r="J55" s="37" t="str">
        <f>IF(I55="","",IF(Indicators!$H$53&lt;&gt;"Quantitative threshold","",IF(Indicators!$I$53="Higher",IF(N(I55)&gt;=Indicators!$O$53,5,IF(N(I55)&gt;=Indicators!$N$53,4,IF(N(I55)&gt;=Indicators!$M$53,3,IF(N(I55)&gt;=Indicators!$L$53,2,1)))),IF(N(I55)&lt;=Indicators!$O$53,5,IF(N(I55)&lt;=Indicators!$N$53,4,IF(N(I55)&lt;=Indicators!$M$53,3,IF(N(I55)&lt;=Indicators!$L$53,2,1)))))))</f>
        <v/>
      </c>
      <c r="K55" s="35"/>
      <c r="L55" s="37" t="str">
        <f>IF(Indicators!$D$53="C0","",IF(K55&lt;&gt;"",K55,IF(J55&lt;&gt;"",J55,"")))</f>
        <v/>
      </c>
      <c r="M55" s="35"/>
      <c r="N55" s="35"/>
      <c r="O55" s="37" t="str">
        <f t="shared" si="1"/>
        <v/>
      </c>
      <c r="P55" s="35"/>
      <c r="Q55" s="35"/>
      <c r="R55" s="35"/>
    </row>
    <row r="56" spans="2:18" ht="15" customHeight="1">
      <c r="B56" s="35" t="s">
        <v>378</v>
      </c>
      <c r="C56" s="36" t="s">
        <v>379</v>
      </c>
      <c r="D56" s="35" t="s">
        <v>77</v>
      </c>
      <c r="E56" s="35" t="s">
        <v>202</v>
      </c>
      <c r="F56" s="35" t="s">
        <v>203</v>
      </c>
      <c r="G56" s="35"/>
      <c r="H56" s="35">
        <v>3</v>
      </c>
      <c r="I56" s="35"/>
      <c r="J56" s="37" t="str">
        <f>IF(I56="","",IF(Indicators!$H$54&lt;&gt;"Quantitative threshold","",IF(Indicators!$I$54="Higher",IF(N(I56)&gt;=Indicators!$O$54,5,IF(N(I56)&gt;=Indicators!$N$54,4,IF(N(I56)&gt;=Indicators!$M$54,3,IF(N(I56)&gt;=Indicators!$L$54,2,1)))),IF(N(I56)&lt;=Indicators!$O$54,5,IF(N(I56)&lt;=Indicators!$N$54,4,IF(N(I56)&lt;=Indicators!$M$54,3,IF(N(I56)&lt;=Indicators!$L$54,2,1)))))))</f>
        <v/>
      </c>
      <c r="K56" s="35"/>
      <c r="L56" s="37" t="str">
        <f>IF(Indicators!$D$54="C0","",IF(K56&lt;&gt;"",K56,IF(J56&lt;&gt;"",J56,"")))</f>
        <v/>
      </c>
      <c r="M56" s="35"/>
      <c r="N56" s="35"/>
      <c r="O56" s="37" t="str">
        <f t="shared" si="1"/>
        <v/>
      </c>
      <c r="P56" s="35"/>
      <c r="Q56" s="35"/>
      <c r="R56" s="35"/>
    </row>
    <row r="57" spans="2:18" ht="15" customHeight="1">
      <c r="B57" s="35" t="s">
        <v>383</v>
      </c>
      <c r="C57" s="36" t="s">
        <v>384</v>
      </c>
      <c r="D57" s="35" t="s">
        <v>77</v>
      </c>
      <c r="E57" s="35" t="s">
        <v>202</v>
      </c>
      <c r="F57" s="35" t="s">
        <v>203</v>
      </c>
      <c r="G57" s="35"/>
      <c r="H57" s="35">
        <v>2</v>
      </c>
      <c r="I57" s="35"/>
      <c r="J57" s="37" t="str">
        <f>IF(I57="","",IF(Indicators!$H$55&lt;&gt;"Quantitative threshold","",IF(Indicators!$I$55="Higher",IF(N(I57)&gt;=Indicators!$O$55,5,IF(N(I57)&gt;=Indicators!$N$55,4,IF(N(I57)&gt;=Indicators!$M$55,3,IF(N(I57)&gt;=Indicators!$L$55,2,1)))),IF(N(I57)&lt;=Indicators!$O$55,5,IF(N(I57)&lt;=Indicators!$N$55,4,IF(N(I57)&lt;=Indicators!$M$55,3,IF(N(I57)&lt;=Indicators!$L$55,2,1)))))))</f>
        <v/>
      </c>
      <c r="K57" s="35"/>
      <c r="L57" s="37" t="str">
        <f>IF(Indicators!$D$55="C0","",IF(K57&lt;&gt;"",K57,IF(J57&lt;&gt;"",J57,"")))</f>
        <v/>
      </c>
      <c r="M57" s="35"/>
      <c r="N57" s="35"/>
      <c r="O57" s="37" t="str">
        <f t="shared" si="1"/>
        <v/>
      </c>
      <c r="P57" s="35"/>
      <c r="Q57" s="35"/>
      <c r="R57" s="35"/>
    </row>
    <row r="58" spans="2:18" ht="15" customHeight="1">
      <c r="B58" s="39" t="s">
        <v>389</v>
      </c>
      <c r="C58" s="36" t="s">
        <v>390</v>
      </c>
      <c r="D58" s="35" t="s">
        <v>77</v>
      </c>
      <c r="E58" s="35" t="s">
        <v>202</v>
      </c>
      <c r="F58" s="35" t="s">
        <v>203</v>
      </c>
      <c r="G58" s="39" t="s">
        <v>204</v>
      </c>
      <c r="H58" s="35">
        <v>2</v>
      </c>
      <c r="I58" s="35"/>
      <c r="J58" s="37" t="str">
        <f>IF(I58="","",IF(Indicators!$H$56&lt;&gt;"Quantitative threshold","",IF(Indicators!$I$56="Higher",IF(N(I58)&gt;=Indicators!$O$56,5,IF(N(I58)&gt;=Indicators!$N$56,4,IF(N(I58)&gt;=Indicators!$M$56,3,IF(N(I58)&gt;=Indicators!$L$56,2,1)))),IF(N(I58)&lt;=Indicators!$O$56,5,IF(N(I58)&lt;=Indicators!$N$56,4,IF(N(I58)&lt;=Indicators!$M$56,3,IF(N(I58)&lt;=Indicators!$L$56,2,1)))))))</f>
        <v/>
      </c>
      <c r="K58" s="35"/>
      <c r="L58" s="37" t="str">
        <f>IF(Indicators!$D$56="C0","",IF(K58&lt;&gt;"",K58,IF(J58&lt;&gt;"",J58,"")))</f>
        <v/>
      </c>
      <c r="M58" s="35"/>
      <c r="N58" s="35"/>
      <c r="O58" s="37" t="str">
        <f t="shared" si="1"/>
        <v/>
      </c>
      <c r="P58" s="35"/>
      <c r="Q58" s="35"/>
      <c r="R58" s="35"/>
    </row>
    <row r="59" spans="2:18" ht="15" customHeight="1">
      <c r="B59" s="35" t="s">
        <v>394</v>
      </c>
      <c r="C59" s="36" t="s">
        <v>395</v>
      </c>
      <c r="D59" s="35" t="s">
        <v>77</v>
      </c>
      <c r="E59" s="35" t="s">
        <v>196</v>
      </c>
      <c r="F59" s="35" t="s">
        <v>150</v>
      </c>
      <c r="G59" s="35"/>
      <c r="H59" s="35">
        <v>2</v>
      </c>
      <c r="I59" s="35"/>
      <c r="J59" s="37" t="str">
        <f>IF(I59="","",IF(Indicators!$H$57&lt;&gt;"Quantitative threshold","",IF(Indicators!$I$57="Higher",IF(N(I59)&gt;=Indicators!$O$57,5,IF(N(I59)&gt;=Indicators!$N$57,4,IF(N(I59)&gt;=Indicators!$M$57,3,IF(N(I59)&gt;=Indicators!$L$57,2,1)))),IF(N(I59)&lt;=Indicators!$O$57,5,IF(N(I59)&lt;=Indicators!$N$57,4,IF(N(I59)&lt;=Indicators!$M$57,3,IF(N(I59)&lt;=Indicators!$L$57,2,1)))))))</f>
        <v/>
      </c>
      <c r="K59" s="35"/>
      <c r="L59" s="37" t="str">
        <f>IF(Indicators!$D$57="C0","",IF(K59&lt;&gt;"",K59,IF(J59&lt;&gt;"",J59,"")))</f>
        <v/>
      </c>
      <c r="M59" s="35"/>
      <c r="N59" s="35"/>
      <c r="O59" s="37" t="str">
        <f t="shared" si="1"/>
        <v/>
      </c>
      <c r="P59" s="35"/>
      <c r="Q59" s="35"/>
      <c r="R59" s="35"/>
    </row>
    <row r="60" spans="2:18" ht="15" customHeight="1">
      <c r="B60" s="39" t="s">
        <v>399</v>
      </c>
      <c r="C60" s="36" t="s">
        <v>400</v>
      </c>
      <c r="D60" s="35" t="s">
        <v>77</v>
      </c>
      <c r="E60" s="35" t="s">
        <v>196</v>
      </c>
      <c r="F60" s="35" t="s">
        <v>150</v>
      </c>
      <c r="G60" s="39" t="s">
        <v>204</v>
      </c>
      <c r="H60" s="35">
        <v>2</v>
      </c>
      <c r="I60" s="35"/>
      <c r="J60" s="37" t="str">
        <f>IF(I60="","",IF(Indicators!$H$58&lt;&gt;"Quantitative threshold","",IF(Indicators!$I$58="Higher",IF(N(I60)&gt;=Indicators!$O$58,5,IF(N(I60)&gt;=Indicators!$N$58,4,IF(N(I60)&gt;=Indicators!$M$58,3,IF(N(I60)&gt;=Indicators!$L$58,2,1)))),IF(N(I60)&lt;=Indicators!$O$58,5,IF(N(I60)&lt;=Indicators!$N$58,4,IF(N(I60)&lt;=Indicators!$M$58,3,IF(N(I60)&lt;=Indicators!$L$58,2,1)))))))</f>
        <v/>
      </c>
      <c r="K60" s="35"/>
      <c r="L60" s="37" t="str">
        <f>IF(Indicators!$D$58="C0","",IF(K60&lt;&gt;"",K60,IF(J60&lt;&gt;"",J60,"")))</f>
        <v/>
      </c>
      <c r="M60" s="35"/>
      <c r="N60" s="35"/>
      <c r="O60" s="37" t="str">
        <f t="shared" si="1"/>
        <v/>
      </c>
      <c r="P60" s="35"/>
      <c r="Q60" s="35"/>
      <c r="R60" s="35"/>
    </row>
    <row r="61" spans="2:18" ht="15" customHeight="1">
      <c r="B61" s="35" t="s">
        <v>404</v>
      </c>
      <c r="C61" s="36" t="s">
        <v>405</v>
      </c>
      <c r="D61" s="35" t="s">
        <v>77</v>
      </c>
      <c r="E61" s="35" t="s">
        <v>196</v>
      </c>
      <c r="F61" s="35" t="s">
        <v>150</v>
      </c>
      <c r="G61" s="35"/>
      <c r="H61" s="35">
        <v>2</v>
      </c>
      <c r="I61" s="35"/>
      <c r="J61" s="37" t="str">
        <f>IF(I61="","",IF(Indicators!$H$59&lt;&gt;"Quantitative threshold","",IF(Indicators!$I$59="Higher",IF(N(I61)&gt;=Indicators!$O$59,5,IF(N(I61)&gt;=Indicators!$N$59,4,IF(N(I61)&gt;=Indicators!$M$59,3,IF(N(I61)&gt;=Indicators!$L$59,2,1)))),IF(N(I61)&lt;=Indicators!$O$59,5,IF(N(I61)&lt;=Indicators!$N$59,4,IF(N(I61)&lt;=Indicators!$M$59,3,IF(N(I61)&lt;=Indicators!$L$59,2,1)))))))</f>
        <v/>
      </c>
      <c r="K61" s="35"/>
      <c r="L61" s="37" t="str">
        <f>IF(Indicators!$D$59="C0","",IF(K61&lt;&gt;"",K61,IF(J61&lt;&gt;"",J61,"")))</f>
        <v/>
      </c>
      <c r="M61" s="35"/>
      <c r="N61" s="35"/>
      <c r="O61" s="37" t="str">
        <f t="shared" si="1"/>
        <v/>
      </c>
      <c r="P61" s="35"/>
      <c r="Q61" s="35"/>
      <c r="R61" s="35"/>
    </row>
    <row r="62" spans="2:18" ht="15" customHeight="1">
      <c r="B62" s="35" t="s">
        <v>407</v>
      </c>
      <c r="C62" s="36" t="s">
        <v>408</v>
      </c>
      <c r="D62" s="35" t="s">
        <v>77</v>
      </c>
      <c r="E62" s="35" t="s">
        <v>196</v>
      </c>
      <c r="F62" s="35" t="s">
        <v>150</v>
      </c>
      <c r="G62" s="35"/>
      <c r="H62" s="35">
        <v>2</v>
      </c>
      <c r="I62" s="35"/>
      <c r="J62" s="37" t="str">
        <f>IF(I62="","",IF(Indicators!$H$60&lt;&gt;"Quantitative threshold","",IF(Indicators!$I$60="Higher",IF(N(I62)&gt;=Indicators!$O$60,5,IF(N(I62)&gt;=Indicators!$N$60,4,IF(N(I62)&gt;=Indicators!$M$60,3,IF(N(I62)&gt;=Indicators!$L$60,2,1)))),IF(N(I62)&lt;=Indicators!$O$60,5,IF(N(I62)&lt;=Indicators!$N$60,4,IF(N(I62)&lt;=Indicators!$M$60,3,IF(N(I62)&lt;=Indicators!$L$60,2,1)))))))</f>
        <v/>
      </c>
      <c r="K62" s="35"/>
      <c r="L62" s="37" t="str">
        <f>IF(Indicators!$D$60="C0","",IF(K62&lt;&gt;"",K62,IF(J62&lt;&gt;"",J62,"")))</f>
        <v/>
      </c>
      <c r="M62" s="35"/>
      <c r="N62" s="35"/>
      <c r="O62" s="37" t="str">
        <f t="shared" si="1"/>
        <v/>
      </c>
      <c r="P62" s="35"/>
      <c r="Q62" s="35"/>
      <c r="R62" s="35"/>
    </row>
    <row r="63" spans="2:18" ht="27.75" customHeight="1">
      <c r="B63" s="35" t="s">
        <v>411</v>
      </c>
      <c r="C63" s="36" t="s">
        <v>412</v>
      </c>
      <c r="D63" s="35" t="s">
        <v>77</v>
      </c>
      <c r="E63" s="35" t="s">
        <v>202</v>
      </c>
      <c r="F63" s="35" t="s">
        <v>203</v>
      </c>
      <c r="G63" s="35"/>
      <c r="H63" s="35">
        <v>2</v>
      </c>
      <c r="I63" s="35"/>
      <c r="J63" s="37" t="str">
        <f>IF(I63="","",IF(Indicators!$H$61&lt;&gt;"Quantitative threshold","",IF(Indicators!$I$61="Higher",IF(N(I63)&gt;=Indicators!$O$61,5,IF(N(I63)&gt;=Indicators!$N$61,4,IF(N(I63)&gt;=Indicators!$M$61,3,IF(N(I63)&gt;=Indicators!$L$61,2,1)))),IF(N(I63)&lt;=Indicators!$O$61,5,IF(N(I63)&lt;=Indicators!$N$61,4,IF(N(I63)&lt;=Indicators!$M$61,3,IF(N(I63)&lt;=Indicators!$L$61,2,1)))))))</f>
        <v/>
      </c>
      <c r="K63" s="35"/>
      <c r="L63" s="37" t="str">
        <f>IF(Indicators!$D$61="C0","",IF(K63&lt;&gt;"",K63,IF(J63&lt;&gt;"",J63,"")))</f>
        <v/>
      </c>
      <c r="M63" s="35"/>
      <c r="N63" s="35"/>
      <c r="O63" s="37" t="str">
        <f t="shared" si="1"/>
        <v/>
      </c>
      <c r="P63" s="35"/>
      <c r="Q63" s="35"/>
      <c r="R63" s="35"/>
    </row>
    <row r="64" spans="2:18" ht="27.75" customHeight="1">
      <c r="B64" s="35" t="s">
        <v>417</v>
      </c>
      <c r="C64" s="36" t="s">
        <v>418</v>
      </c>
      <c r="D64" s="35" t="s">
        <v>77</v>
      </c>
      <c r="E64" s="35" t="s">
        <v>196</v>
      </c>
      <c r="F64" s="35" t="s">
        <v>150</v>
      </c>
      <c r="G64" s="35"/>
      <c r="H64" s="35">
        <v>2</v>
      </c>
      <c r="I64" s="35"/>
      <c r="J64" s="37" t="str">
        <f>IF(I64="","",IF(Indicators!$H$62&lt;&gt;"Quantitative threshold","",IF(Indicators!$I$62="Higher",IF(N(I64)&gt;=Indicators!$O$62,5,IF(N(I64)&gt;=Indicators!$N$62,4,IF(N(I64)&gt;=Indicators!$M$62,3,IF(N(I64)&gt;=Indicators!$L$62,2,1)))),IF(N(I64)&lt;=Indicators!$O$62,5,IF(N(I64)&lt;=Indicators!$N$62,4,IF(N(I64)&lt;=Indicators!$M$62,3,IF(N(I64)&lt;=Indicators!$L$62,2,1)))))))</f>
        <v/>
      </c>
      <c r="K64" s="35"/>
      <c r="L64" s="37" t="str">
        <f>IF(Indicators!$D$62="C0","",IF(K64&lt;&gt;"",K64,IF(J64&lt;&gt;"",J64,"")))</f>
        <v/>
      </c>
      <c r="M64" s="35"/>
      <c r="N64" s="35"/>
      <c r="O64" s="37" t="str">
        <f t="shared" si="1"/>
        <v/>
      </c>
      <c r="P64" s="35"/>
      <c r="Q64" s="35"/>
      <c r="R64" s="35"/>
    </row>
    <row r="65" spans="2:18" ht="15" customHeight="1">
      <c r="B65" s="35" t="s">
        <v>421</v>
      </c>
      <c r="C65" s="36" t="s">
        <v>422</v>
      </c>
      <c r="D65" s="35" t="s">
        <v>77</v>
      </c>
      <c r="E65" s="35" t="s">
        <v>202</v>
      </c>
      <c r="F65" s="35" t="s">
        <v>203</v>
      </c>
      <c r="G65" s="35"/>
      <c r="H65" s="35">
        <v>2</v>
      </c>
      <c r="I65" s="35"/>
      <c r="J65" s="37" t="str">
        <f>IF(I65="","",IF(Indicators!$H$63&lt;&gt;"Quantitative threshold","",IF(Indicators!$I$63="Higher",IF(N(I65)&gt;=Indicators!$O$63,5,IF(N(I65)&gt;=Indicators!$N$63,4,IF(N(I65)&gt;=Indicators!$M$63,3,IF(N(I65)&gt;=Indicators!$L$63,2,1)))),IF(N(I65)&lt;=Indicators!$O$63,5,IF(N(I65)&lt;=Indicators!$N$63,4,IF(N(I65)&lt;=Indicators!$M$63,3,IF(N(I65)&lt;=Indicators!$L$63,2,1)))))))</f>
        <v/>
      </c>
      <c r="K65" s="35"/>
      <c r="L65" s="37" t="str">
        <f>IF(Indicators!$D$63="C0","",IF(K65&lt;&gt;"",K65,IF(J65&lt;&gt;"",J65,"")))</f>
        <v/>
      </c>
      <c r="M65" s="35"/>
      <c r="N65" s="35"/>
      <c r="O65" s="37" t="str">
        <f t="shared" si="1"/>
        <v/>
      </c>
      <c r="P65" s="35"/>
      <c r="Q65" s="35"/>
      <c r="R65" s="35"/>
    </row>
    <row r="66" spans="2:18" ht="27.75" customHeight="1">
      <c r="B66" s="35" t="s">
        <v>426</v>
      </c>
      <c r="C66" s="36" t="s">
        <v>427</v>
      </c>
      <c r="D66" s="35" t="s">
        <v>77</v>
      </c>
      <c r="E66" s="35" t="s">
        <v>202</v>
      </c>
      <c r="F66" s="35" t="s">
        <v>203</v>
      </c>
      <c r="G66" s="35"/>
      <c r="H66" s="35">
        <v>3</v>
      </c>
      <c r="I66" s="35"/>
      <c r="J66" s="37" t="str">
        <f>IF(I66="","",IF(Indicators!$H$64&lt;&gt;"Quantitative threshold","",IF(Indicators!$I$64="Higher",IF(N(I66)&gt;=Indicators!$O$64,5,IF(N(I66)&gt;=Indicators!$N$64,4,IF(N(I66)&gt;=Indicators!$M$64,3,IF(N(I66)&gt;=Indicators!$L$64,2,1)))),IF(N(I66)&lt;=Indicators!$O$64,5,IF(N(I66)&lt;=Indicators!$N$64,4,IF(N(I66)&lt;=Indicators!$M$64,3,IF(N(I66)&lt;=Indicators!$L$64,2,1)))))))</f>
        <v/>
      </c>
      <c r="K66" s="35"/>
      <c r="L66" s="37" t="str">
        <f>IF(Indicators!$D$64="C0","",IF(K66&lt;&gt;"",K66,IF(J66&lt;&gt;"",J66,"")))</f>
        <v/>
      </c>
      <c r="M66" s="35"/>
      <c r="N66" s="35"/>
      <c r="O66" s="37" t="str">
        <f t="shared" si="1"/>
        <v/>
      </c>
      <c r="P66" s="35"/>
      <c r="Q66" s="35"/>
      <c r="R66" s="35"/>
    </row>
    <row r="67" spans="2:18" ht="15" customHeight="1">
      <c r="B67" s="35" t="s">
        <v>429</v>
      </c>
      <c r="C67" s="36" t="s">
        <v>430</v>
      </c>
      <c r="D67" s="35" t="s">
        <v>79</v>
      </c>
      <c r="E67" s="35" t="s">
        <v>202</v>
      </c>
      <c r="F67" s="35" t="s">
        <v>203</v>
      </c>
      <c r="G67" s="35"/>
      <c r="H67" s="35">
        <v>3</v>
      </c>
      <c r="I67" s="35"/>
      <c r="J67" s="37" t="str">
        <f>IF(I67="","",IF(Indicators!$H$65&lt;&gt;"Quantitative threshold","",IF(Indicators!$I$65="Higher",IF(N(I67)&gt;=Indicators!$O$65,5,IF(N(I67)&gt;=Indicators!$N$65,4,IF(N(I67)&gt;=Indicators!$M$65,3,IF(N(I67)&gt;=Indicators!$L$65,2,1)))),IF(N(I67)&lt;=Indicators!$O$65,5,IF(N(I67)&lt;=Indicators!$N$65,4,IF(N(I67)&lt;=Indicators!$M$65,3,IF(N(I67)&lt;=Indicators!$L$65,2,1)))))))</f>
        <v/>
      </c>
      <c r="K67" s="35"/>
      <c r="L67" s="37" t="str">
        <f>IF(Indicators!$D$65="C0","",IF(K67&lt;&gt;"",K67,IF(J67&lt;&gt;"",J67,"")))</f>
        <v/>
      </c>
      <c r="M67" s="35"/>
      <c r="N67" s="35"/>
      <c r="O67" s="37" t="str">
        <f t="shared" si="1"/>
        <v/>
      </c>
      <c r="P67" s="35"/>
      <c r="Q67" s="35"/>
      <c r="R67" s="35"/>
    </row>
    <row r="68" spans="2:18" ht="15" customHeight="1">
      <c r="B68" s="35" t="s">
        <v>434</v>
      </c>
      <c r="C68" s="36" t="s">
        <v>435</v>
      </c>
      <c r="D68" s="35" t="s">
        <v>79</v>
      </c>
      <c r="E68" s="35" t="s">
        <v>202</v>
      </c>
      <c r="F68" s="35" t="s">
        <v>203</v>
      </c>
      <c r="G68" s="35"/>
      <c r="H68" s="35">
        <v>3</v>
      </c>
      <c r="I68" s="35"/>
      <c r="J68" s="37" t="str">
        <f>IF(I68="","",IF(Indicators!$H$66&lt;&gt;"Quantitative threshold","",IF(Indicators!$I$66="Higher",IF(N(I68)&gt;=Indicators!$O$66,5,IF(N(I68)&gt;=Indicators!$N$66,4,IF(N(I68)&gt;=Indicators!$M$66,3,IF(N(I68)&gt;=Indicators!$L$66,2,1)))),IF(N(I68)&lt;=Indicators!$O$66,5,IF(N(I68)&lt;=Indicators!$N$66,4,IF(N(I68)&lt;=Indicators!$M$66,3,IF(N(I68)&lt;=Indicators!$L$66,2,1)))))))</f>
        <v/>
      </c>
      <c r="K68" s="35"/>
      <c r="L68" s="37" t="str">
        <f>IF(Indicators!$D$66="C0","",IF(K68&lt;&gt;"",K68,IF(J68&lt;&gt;"",J68,"")))</f>
        <v/>
      </c>
      <c r="M68" s="35"/>
      <c r="N68" s="35"/>
      <c r="O68" s="37" t="str">
        <f t="shared" si="1"/>
        <v/>
      </c>
      <c r="P68" s="35"/>
      <c r="Q68" s="35"/>
      <c r="R68" s="35"/>
    </row>
    <row r="69" spans="2:18" ht="15" customHeight="1">
      <c r="B69" s="35" t="s">
        <v>439</v>
      </c>
      <c r="C69" s="36" t="s">
        <v>440</v>
      </c>
      <c r="D69" s="35" t="s">
        <v>79</v>
      </c>
      <c r="E69" s="35" t="s">
        <v>202</v>
      </c>
      <c r="F69" s="35" t="s">
        <v>203</v>
      </c>
      <c r="G69" s="35"/>
      <c r="H69" s="35">
        <v>3</v>
      </c>
      <c r="I69" s="35"/>
      <c r="J69" s="37" t="str">
        <f>IF(I69="","",IF(Indicators!$H$67&lt;&gt;"Quantitative threshold","",IF(Indicators!$I$67="Higher",IF(N(I69)&gt;=Indicators!$O$67,5,IF(N(I69)&gt;=Indicators!$N$67,4,IF(N(I69)&gt;=Indicators!$M$67,3,IF(N(I69)&gt;=Indicators!$L$67,2,1)))),IF(N(I69)&lt;=Indicators!$O$67,5,IF(N(I69)&lt;=Indicators!$N$67,4,IF(N(I69)&lt;=Indicators!$M$67,3,IF(N(I69)&lt;=Indicators!$L$67,2,1)))))))</f>
        <v/>
      </c>
      <c r="K69" s="35"/>
      <c r="L69" s="37" t="str">
        <f>IF(Indicators!$D$67="C0","",IF(K69&lt;&gt;"",K69,IF(J69&lt;&gt;"",J69,"")))</f>
        <v/>
      </c>
      <c r="M69" s="35"/>
      <c r="N69" s="35"/>
      <c r="O69" s="37" t="str">
        <f t="shared" si="1"/>
        <v/>
      </c>
      <c r="P69" s="35"/>
      <c r="Q69" s="35"/>
      <c r="R69" s="35"/>
    </row>
    <row r="70" spans="2:18" ht="15" customHeight="1">
      <c r="B70" s="35" t="s">
        <v>444</v>
      </c>
      <c r="C70" s="36" t="s">
        <v>445</v>
      </c>
      <c r="D70" s="35" t="s">
        <v>79</v>
      </c>
      <c r="E70" s="35" t="s">
        <v>196</v>
      </c>
      <c r="F70" s="35" t="s">
        <v>150</v>
      </c>
      <c r="G70" s="35"/>
      <c r="H70" s="35">
        <v>2</v>
      </c>
      <c r="I70" s="35"/>
      <c r="J70" s="37" t="str">
        <f>IF(I70="","",IF(Indicators!$H$68&lt;&gt;"Quantitative threshold","",IF(Indicators!$I$68="Higher",IF(N(I70)&gt;=Indicators!$O$68,5,IF(N(I70)&gt;=Indicators!$N$68,4,IF(N(I70)&gt;=Indicators!$M$68,3,IF(N(I70)&gt;=Indicators!$L$68,2,1)))),IF(N(I70)&lt;=Indicators!$O$68,5,IF(N(I70)&lt;=Indicators!$N$68,4,IF(N(I70)&lt;=Indicators!$M$68,3,IF(N(I70)&lt;=Indicators!$L$68,2,1)))))))</f>
        <v/>
      </c>
      <c r="K70" s="35"/>
      <c r="L70" s="37" t="str">
        <f>IF(Indicators!$D$68="C0","",IF(K70&lt;&gt;"",K70,IF(J70&lt;&gt;"",J70,"")))</f>
        <v/>
      </c>
      <c r="M70" s="35"/>
      <c r="N70" s="35"/>
      <c r="O70" s="37" t="str">
        <f t="shared" si="1"/>
        <v/>
      </c>
      <c r="P70" s="35"/>
      <c r="Q70" s="35"/>
      <c r="R70" s="35"/>
    </row>
    <row r="71" spans="2:18" ht="15" customHeight="1">
      <c r="B71" s="35" t="s">
        <v>450</v>
      </c>
      <c r="C71" s="36" t="s">
        <v>451</v>
      </c>
      <c r="D71" s="35" t="s">
        <v>79</v>
      </c>
      <c r="E71" s="35" t="s">
        <v>196</v>
      </c>
      <c r="F71" s="35" t="s">
        <v>150</v>
      </c>
      <c r="G71" s="35"/>
      <c r="H71" s="35">
        <v>2</v>
      </c>
      <c r="I71" s="35"/>
      <c r="J71" s="37" t="str">
        <f>IF(I71="","",IF(Indicators!$H$69&lt;&gt;"Quantitative threshold","",IF(Indicators!$I$69="Higher",IF(N(I71)&gt;=Indicators!$O$69,5,IF(N(I71)&gt;=Indicators!$N$69,4,IF(N(I71)&gt;=Indicators!$M$69,3,IF(N(I71)&gt;=Indicators!$L$69,2,1)))),IF(N(I71)&lt;=Indicators!$O$69,5,IF(N(I71)&lt;=Indicators!$N$69,4,IF(N(I71)&lt;=Indicators!$M$69,3,IF(N(I71)&lt;=Indicators!$L$69,2,1)))))))</f>
        <v/>
      </c>
      <c r="K71" s="35"/>
      <c r="L71" s="37" t="str">
        <f>IF(Indicators!$D$69="C0","",IF(K71&lt;&gt;"",K71,IF(J71&lt;&gt;"",J71,"")))</f>
        <v/>
      </c>
      <c r="M71" s="35"/>
      <c r="N71" s="35"/>
      <c r="O71" s="37" t="str">
        <f t="shared" si="1"/>
        <v/>
      </c>
      <c r="P71" s="35"/>
      <c r="Q71" s="35"/>
      <c r="R71" s="35"/>
    </row>
    <row r="72" spans="2:18" ht="15" customHeight="1">
      <c r="B72" s="35" t="s">
        <v>456</v>
      </c>
      <c r="C72" s="36" t="s">
        <v>457</v>
      </c>
      <c r="D72" s="35" t="s">
        <v>79</v>
      </c>
      <c r="E72" s="35" t="s">
        <v>196</v>
      </c>
      <c r="F72" s="35" t="s">
        <v>150</v>
      </c>
      <c r="G72" s="35"/>
      <c r="H72" s="35">
        <v>2</v>
      </c>
      <c r="I72" s="35"/>
      <c r="J72" s="37" t="str">
        <f>IF(I72="","",IF(Indicators!$H$70&lt;&gt;"Quantitative threshold","",IF(Indicators!$I$70="Higher",IF(N(I72)&gt;=Indicators!$O$70,5,IF(N(I72)&gt;=Indicators!$N$70,4,IF(N(I72)&gt;=Indicators!$M$70,3,IF(N(I72)&gt;=Indicators!$L$70,2,1)))),IF(N(I72)&lt;=Indicators!$O$70,5,IF(N(I72)&lt;=Indicators!$N$70,4,IF(N(I72)&lt;=Indicators!$M$70,3,IF(N(I72)&lt;=Indicators!$L$70,2,1)))))))</f>
        <v/>
      </c>
      <c r="K72" s="35"/>
      <c r="L72" s="37" t="str">
        <f>IF(Indicators!$D$70="C0","",IF(K72&lt;&gt;"",K72,IF(J72&lt;&gt;"",J72,"")))</f>
        <v/>
      </c>
      <c r="M72" s="35"/>
      <c r="N72" s="35"/>
      <c r="O72" s="37" t="str">
        <f t="shared" ref="O72:O103" si="2">IF(N72="","",IF(N72&lt;($L$5-H72),"STALE",""))</f>
        <v/>
      </c>
      <c r="P72" s="35"/>
      <c r="Q72" s="35"/>
      <c r="R72" s="35"/>
    </row>
    <row r="73" spans="2:18" ht="15" customHeight="1">
      <c r="B73" s="35" t="s">
        <v>461</v>
      </c>
      <c r="C73" s="36" t="s">
        <v>462</v>
      </c>
      <c r="D73" s="35" t="s">
        <v>79</v>
      </c>
      <c r="E73" s="35" t="s">
        <v>202</v>
      </c>
      <c r="F73" s="35" t="s">
        <v>203</v>
      </c>
      <c r="G73" s="35"/>
      <c r="H73" s="35">
        <v>2</v>
      </c>
      <c r="I73" s="35"/>
      <c r="J73" s="37" t="str">
        <f>IF(I73="","",IF(Indicators!$H$71&lt;&gt;"Quantitative threshold","",IF(Indicators!$I$71="Higher",IF(N(I73)&gt;=Indicators!$O$71,5,IF(N(I73)&gt;=Indicators!$N$71,4,IF(N(I73)&gt;=Indicators!$M$71,3,IF(N(I73)&gt;=Indicators!$L$71,2,1)))),IF(N(I73)&lt;=Indicators!$O$71,5,IF(N(I73)&lt;=Indicators!$N$71,4,IF(N(I73)&lt;=Indicators!$M$71,3,IF(N(I73)&lt;=Indicators!$L$71,2,1)))))))</f>
        <v/>
      </c>
      <c r="K73" s="35"/>
      <c r="L73" s="37" t="str">
        <f>IF(Indicators!$D$71="C0","",IF(K73&lt;&gt;"",K73,IF(J73&lt;&gt;"",J73,"")))</f>
        <v/>
      </c>
      <c r="M73" s="35"/>
      <c r="N73" s="35"/>
      <c r="O73" s="37" t="str">
        <f t="shared" si="2"/>
        <v/>
      </c>
      <c r="P73" s="35"/>
      <c r="Q73" s="35"/>
      <c r="R73" s="35"/>
    </row>
    <row r="74" spans="2:18" ht="15" customHeight="1">
      <c r="B74" s="35" t="s">
        <v>465</v>
      </c>
      <c r="C74" s="36" t="s">
        <v>466</v>
      </c>
      <c r="D74" s="35" t="s">
        <v>79</v>
      </c>
      <c r="E74" s="35" t="s">
        <v>196</v>
      </c>
      <c r="F74" s="35" t="s">
        <v>150</v>
      </c>
      <c r="G74" s="35"/>
      <c r="H74" s="35">
        <v>2</v>
      </c>
      <c r="I74" s="35"/>
      <c r="J74" s="37" t="str">
        <f>IF(I74="","",IF(Indicators!$H$72&lt;&gt;"Quantitative threshold","",IF(Indicators!$I$72="Higher",IF(N(I74)&gt;=Indicators!$O$72,5,IF(N(I74)&gt;=Indicators!$N$72,4,IF(N(I74)&gt;=Indicators!$M$72,3,IF(N(I74)&gt;=Indicators!$L$72,2,1)))),IF(N(I74)&lt;=Indicators!$O$72,5,IF(N(I74)&lt;=Indicators!$N$72,4,IF(N(I74)&lt;=Indicators!$M$72,3,IF(N(I74)&lt;=Indicators!$L$72,2,1)))))))</f>
        <v/>
      </c>
      <c r="K74" s="35"/>
      <c r="L74" s="37" t="str">
        <f>IF(Indicators!$D$72="C0","",IF(K74&lt;&gt;"",K74,IF(J74&lt;&gt;"",J74,"")))</f>
        <v/>
      </c>
      <c r="M74" s="35"/>
      <c r="N74" s="35"/>
      <c r="O74" s="37" t="str">
        <f t="shared" si="2"/>
        <v/>
      </c>
      <c r="P74" s="35"/>
      <c r="Q74" s="35"/>
      <c r="R74" s="35"/>
    </row>
    <row r="75" spans="2:18" ht="15" customHeight="1">
      <c r="B75" s="35" t="s">
        <v>470</v>
      </c>
      <c r="C75" s="36" t="s">
        <v>471</v>
      </c>
      <c r="D75" s="35" t="s">
        <v>79</v>
      </c>
      <c r="E75" s="35" t="s">
        <v>196</v>
      </c>
      <c r="F75" s="35" t="s">
        <v>150</v>
      </c>
      <c r="G75" s="35"/>
      <c r="H75" s="35">
        <v>2</v>
      </c>
      <c r="I75" s="35"/>
      <c r="J75" s="37" t="str">
        <f>IF(I75="","",IF(Indicators!$H$73&lt;&gt;"Quantitative threshold","",IF(Indicators!$I$73="Higher",IF(N(I75)&gt;=Indicators!$O$73,5,IF(N(I75)&gt;=Indicators!$N$73,4,IF(N(I75)&gt;=Indicators!$M$73,3,IF(N(I75)&gt;=Indicators!$L$73,2,1)))),IF(N(I75)&lt;=Indicators!$O$73,5,IF(N(I75)&lt;=Indicators!$N$73,4,IF(N(I75)&lt;=Indicators!$M$73,3,IF(N(I75)&lt;=Indicators!$L$73,2,1)))))))</f>
        <v/>
      </c>
      <c r="K75" s="35"/>
      <c r="L75" s="37" t="str">
        <f>IF(Indicators!$D$73="C0","",IF(K75&lt;&gt;"",K75,IF(J75&lt;&gt;"",J75,"")))</f>
        <v/>
      </c>
      <c r="M75" s="35"/>
      <c r="N75" s="35"/>
      <c r="O75" s="37" t="str">
        <f t="shared" si="2"/>
        <v/>
      </c>
      <c r="P75" s="35"/>
      <c r="Q75" s="35"/>
      <c r="R75" s="35"/>
    </row>
    <row r="76" spans="2:18" ht="27.75" customHeight="1">
      <c r="B76" s="35" t="s">
        <v>475</v>
      </c>
      <c r="C76" s="36" t="s">
        <v>476</v>
      </c>
      <c r="D76" s="35" t="s">
        <v>79</v>
      </c>
      <c r="E76" s="35" t="s">
        <v>196</v>
      </c>
      <c r="F76" s="35" t="s">
        <v>150</v>
      </c>
      <c r="G76" s="35"/>
      <c r="H76" s="35">
        <v>2</v>
      </c>
      <c r="I76" s="35"/>
      <c r="J76" s="37" t="str">
        <f>IF(I76="","",IF(Indicators!$H$74&lt;&gt;"Quantitative threshold","",IF(Indicators!$I$74="Higher",IF(N(I76)&gt;=Indicators!$O$74,5,IF(N(I76)&gt;=Indicators!$N$74,4,IF(N(I76)&gt;=Indicators!$M$74,3,IF(N(I76)&gt;=Indicators!$L$74,2,1)))),IF(N(I76)&lt;=Indicators!$O$74,5,IF(N(I76)&lt;=Indicators!$N$74,4,IF(N(I76)&lt;=Indicators!$M$74,3,IF(N(I76)&lt;=Indicators!$L$74,2,1)))))))</f>
        <v/>
      </c>
      <c r="K76" s="35"/>
      <c r="L76" s="37" t="str">
        <f>IF(Indicators!$D$74="C0","",IF(K76&lt;&gt;"",K76,IF(J76&lt;&gt;"",J76,"")))</f>
        <v/>
      </c>
      <c r="M76" s="35"/>
      <c r="N76" s="35"/>
      <c r="O76" s="37" t="str">
        <f t="shared" si="2"/>
        <v/>
      </c>
      <c r="P76" s="35"/>
      <c r="Q76" s="35"/>
      <c r="R76" s="35"/>
    </row>
    <row r="77" spans="2:18" ht="15" customHeight="1">
      <c r="B77" s="35" t="s">
        <v>480</v>
      </c>
      <c r="C77" s="36" t="s">
        <v>481</v>
      </c>
      <c r="D77" s="35" t="s">
        <v>79</v>
      </c>
      <c r="E77" s="35" t="s">
        <v>196</v>
      </c>
      <c r="F77" s="35" t="s">
        <v>150</v>
      </c>
      <c r="G77" s="35"/>
      <c r="H77" s="35">
        <v>2</v>
      </c>
      <c r="I77" s="35"/>
      <c r="J77" s="37" t="str">
        <f>IF(I77="","",IF(Indicators!$H$75&lt;&gt;"Quantitative threshold","",IF(Indicators!$I$75="Higher",IF(N(I77)&gt;=Indicators!$O$75,5,IF(N(I77)&gt;=Indicators!$N$75,4,IF(N(I77)&gt;=Indicators!$M$75,3,IF(N(I77)&gt;=Indicators!$L$75,2,1)))),IF(N(I77)&lt;=Indicators!$O$75,5,IF(N(I77)&lt;=Indicators!$N$75,4,IF(N(I77)&lt;=Indicators!$M$75,3,IF(N(I77)&lt;=Indicators!$L$75,2,1)))))))</f>
        <v/>
      </c>
      <c r="K77" s="35"/>
      <c r="L77" s="37" t="str">
        <f>IF(Indicators!$D$75="C0","",IF(K77&lt;&gt;"",K77,IF(J77&lt;&gt;"",J77,"")))</f>
        <v/>
      </c>
      <c r="M77" s="35"/>
      <c r="N77" s="35"/>
      <c r="O77" s="37" t="str">
        <f t="shared" si="2"/>
        <v/>
      </c>
      <c r="P77" s="35"/>
      <c r="Q77" s="35"/>
      <c r="R77" s="35"/>
    </row>
    <row r="78" spans="2:18" ht="15" customHeight="1">
      <c r="B78" s="35" t="s">
        <v>485</v>
      </c>
      <c r="C78" s="36" t="s">
        <v>486</v>
      </c>
      <c r="D78" s="35" t="s">
        <v>79</v>
      </c>
      <c r="E78" s="35" t="s">
        <v>196</v>
      </c>
      <c r="F78" s="35" t="s">
        <v>150</v>
      </c>
      <c r="G78" s="35"/>
      <c r="H78" s="35">
        <v>2</v>
      </c>
      <c r="I78" s="35"/>
      <c r="J78" s="37" t="str">
        <f>IF(I78="","",IF(Indicators!$H$76&lt;&gt;"Quantitative threshold","",IF(Indicators!$I$76="Higher",IF(N(I78)&gt;=Indicators!$O$76,5,IF(N(I78)&gt;=Indicators!$N$76,4,IF(N(I78)&gt;=Indicators!$M$76,3,IF(N(I78)&gt;=Indicators!$L$76,2,1)))),IF(N(I78)&lt;=Indicators!$O$76,5,IF(N(I78)&lt;=Indicators!$N$76,4,IF(N(I78)&lt;=Indicators!$M$76,3,IF(N(I78)&lt;=Indicators!$L$76,2,1)))))))</f>
        <v/>
      </c>
      <c r="K78" s="35"/>
      <c r="L78" s="37" t="str">
        <f>IF(Indicators!$D$76="C0","",IF(K78&lt;&gt;"",K78,IF(J78&lt;&gt;"",J78,"")))</f>
        <v/>
      </c>
      <c r="M78" s="35"/>
      <c r="N78" s="35"/>
      <c r="O78" s="37" t="str">
        <f t="shared" si="2"/>
        <v/>
      </c>
      <c r="P78" s="35"/>
      <c r="Q78" s="35"/>
      <c r="R78" s="35"/>
    </row>
    <row r="79" spans="2:18" ht="15" customHeight="1">
      <c r="B79" s="35" t="s">
        <v>490</v>
      </c>
      <c r="C79" s="36" t="s">
        <v>491</v>
      </c>
      <c r="D79" s="35" t="s">
        <v>79</v>
      </c>
      <c r="E79" s="35" t="s">
        <v>202</v>
      </c>
      <c r="F79" s="35" t="s">
        <v>203</v>
      </c>
      <c r="G79" s="35"/>
      <c r="H79" s="35">
        <v>2</v>
      </c>
      <c r="I79" s="35"/>
      <c r="J79" s="37" t="str">
        <f>IF(I79="","",IF(Indicators!$H$77&lt;&gt;"Quantitative threshold","",IF(Indicators!$I$77="Higher",IF(N(I79)&gt;=Indicators!$O$77,5,IF(N(I79)&gt;=Indicators!$N$77,4,IF(N(I79)&gt;=Indicators!$M$77,3,IF(N(I79)&gt;=Indicators!$L$77,2,1)))),IF(N(I79)&lt;=Indicators!$O$77,5,IF(N(I79)&lt;=Indicators!$N$77,4,IF(N(I79)&lt;=Indicators!$M$77,3,IF(N(I79)&lt;=Indicators!$L$77,2,1)))))))</f>
        <v/>
      </c>
      <c r="K79" s="35"/>
      <c r="L79" s="37" t="str">
        <f>IF(Indicators!$D$77="C0","",IF(K79&lt;&gt;"",K79,IF(J79&lt;&gt;"",J79,"")))</f>
        <v/>
      </c>
      <c r="M79" s="35"/>
      <c r="N79" s="35"/>
      <c r="O79" s="37" t="str">
        <f t="shared" si="2"/>
        <v/>
      </c>
      <c r="P79" s="35"/>
      <c r="Q79" s="35"/>
      <c r="R79" s="35"/>
    </row>
    <row r="80" spans="2:18" ht="27.75" customHeight="1">
      <c r="B80" s="39" t="s">
        <v>494</v>
      </c>
      <c r="C80" s="36" t="s">
        <v>495</v>
      </c>
      <c r="D80" s="35" t="s">
        <v>79</v>
      </c>
      <c r="E80" s="35" t="s">
        <v>196</v>
      </c>
      <c r="F80" s="35" t="s">
        <v>150</v>
      </c>
      <c r="G80" s="39" t="s">
        <v>204</v>
      </c>
      <c r="H80" s="35">
        <v>2</v>
      </c>
      <c r="I80" s="35"/>
      <c r="J80" s="37" t="str">
        <f>IF(I80="","",IF(Indicators!$H$78&lt;&gt;"Quantitative threshold","",IF(Indicators!$I$78="Higher",IF(N(I80)&gt;=Indicators!$O$78,5,IF(N(I80)&gt;=Indicators!$N$78,4,IF(N(I80)&gt;=Indicators!$M$78,3,IF(N(I80)&gt;=Indicators!$L$78,2,1)))),IF(N(I80)&lt;=Indicators!$O$78,5,IF(N(I80)&lt;=Indicators!$N$78,4,IF(N(I80)&lt;=Indicators!$M$78,3,IF(N(I80)&lt;=Indicators!$L$78,2,1)))))))</f>
        <v/>
      </c>
      <c r="K80" s="35"/>
      <c r="L80" s="37" t="str">
        <f>IF(Indicators!$D$78="C0","",IF(K80&lt;&gt;"",K80,IF(J80&lt;&gt;"",J80,"")))</f>
        <v/>
      </c>
      <c r="M80" s="35"/>
      <c r="N80" s="35"/>
      <c r="O80" s="37" t="str">
        <f t="shared" si="2"/>
        <v/>
      </c>
      <c r="P80" s="35"/>
      <c r="Q80" s="35"/>
      <c r="R80" s="35"/>
    </row>
    <row r="81" spans="2:18" ht="27.75" customHeight="1">
      <c r="B81" s="35" t="s">
        <v>499</v>
      </c>
      <c r="C81" s="36" t="s">
        <v>500</v>
      </c>
      <c r="D81" s="35" t="s">
        <v>82</v>
      </c>
      <c r="E81" s="35" t="s">
        <v>202</v>
      </c>
      <c r="F81" s="35" t="s">
        <v>203</v>
      </c>
      <c r="G81" s="35"/>
      <c r="H81" s="35">
        <v>3</v>
      </c>
      <c r="I81" s="35"/>
      <c r="J81" s="37" t="str">
        <f>IF(I81="","",IF(Indicators!$H$79&lt;&gt;"Quantitative threshold","",IF(Indicators!$I$79="Higher",IF(N(I81)&gt;=Indicators!$O$79,5,IF(N(I81)&gt;=Indicators!$N$79,4,IF(N(I81)&gt;=Indicators!$M$79,3,IF(N(I81)&gt;=Indicators!$L$79,2,1)))),IF(N(I81)&lt;=Indicators!$O$79,5,IF(N(I81)&lt;=Indicators!$N$79,4,IF(N(I81)&lt;=Indicators!$M$79,3,IF(N(I81)&lt;=Indicators!$L$79,2,1)))))))</f>
        <v/>
      </c>
      <c r="K81" s="35"/>
      <c r="L81" s="37" t="str">
        <f>IF(Indicators!$D$79="C0","",IF(K81&lt;&gt;"",K81,IF(J81&lt;&gt;"",J81,"")))</f>
        <v/>
      </c>
      <c r="M81" s="35"/>
      <c r="N81" s="35"/>
      <c r="O81" s="37" t="str">
        <f t="shared" si="2"/>
        <v/>
      </c>
      <c r="P81" s="35"/>
      <c r="Q81" s="35"/>
      <c r="R81" s="35"/>
    </row>
    <row r="82" spans="2:18" ht="15" customHeight="1">
      <c r="B82" s="35" t="s">
        <v>504</v>
      </c>
      <c r="C82" s="36" t="s">
        <v>505</v>
      </c>
      <c r="D82" s="35" t="s">
        <v>82</v>
      </c>
      <c r="E82" s="35" t="s">
        <v>196</v>
      </c>
      <c r="F82" s="35" t="s">
        <v>150</v>
      </c>
      <c r="G82" s="35"/>
      <c r="H82" s="35">
        <v>2</v>
      </c>
      <c r="I82" s="35"/>
      <c r="J82" s="37" t="str">
        <f>IF(I82="","",IF(Indicators!$H$80&lt;&gt;"Quantitative threshold","",IF(Indicators!$I$80="Higher",IF(N(I82)&gt;=Indicators!$O$80,5,IF(N(I82)&gt;=Indicators!$N$80,4,IF(N(I82)&gt;=Indicators!$M$80,3,IF(N(I82)&gt;=Indicators!$L$80,2,1)))),IF(N(I82)&lt;=Indicators!$O$80,5,IF(N(I82)&lt;=Indicators!$N$80,4,IF(N(I82)&lt;=Indicators!$M$80,3,IF(N(I82)&lt;=Indicators!$L$80,2,1)))))))</f>
        <v/>
      </c>
      <c r="K82" s="35"/>
      <c r="L82" s="37" t="str">
        <f>IF(Indicators!$D$80="C0","",IF(K82&lt;&gt;"",K82,IF(J82&lt;&gt;"",J82,"")))</f>
        <v/>
      </c>
      <c r="M82" s="35"/>
      <c r="N82" s="35"/>
      <c r="O82" s="37" t="str">
        <f t="shared" si="2"/>
        <v/>
      </c>
      <c r="P82" s="35"/>
      <c r="Q82" s="35"/>
      <c r="R82" s="35"/>
    </row>
    <row r="83" spans="2:18" ht="15" customHeight="1">
      <c r="B83" s="35" t="s">
        <v>509</v>
      </c>
      <c r="C83" s="36" t="s">
        <v>510</v>
      </c>
      <c r="D83" s="35" t="s">
        <v>82</v>
      </c>
      <c r="E83" s="35" t="s">
        <v>202</v>
      </c>
      <c r="F83" s="35" t="s">
        <v>203</v>
      </c>
      <c r="G83" s="35"/>
      <c r="H83" s="35">
        <v>2</v>
      </c>
      <c r="I83" s="35"/>
      <c r="J83" s="37" t="str">
        <f>IF(I83="","",IF(Indicators!$H$81&lt;&gt;"Quantitative threshold","",IF(Indicators!$I$81="Higher",IF(N(I83)&gt;=Indicators!$O$81,5,IF(N(I83)&gt;=Indicators!$N$81,4,IF(N(I83)&gt;=Indicators!$M$81,3,IF(N(I83)&gt;=Indicators!$L$81,2,1)))),IF(N(I83)&lt;=Indicators!$O$81,5,IF(N(I83)&lt;=Indicators!$N$81,4,IF(N(I83)&lt;=Indicators!$M$81,3,IF(N(I83)&lt;=Indicators!$L$81,2,1)))))))</f>
        <v/>
      </c>
      <c r="K83" s="35"/>
      <c r="L83" s="37" t="str">
        <f>IF(Indicators!$D$81="C0","",IF(K83&lt;&gt;"",K83,IF(J83&lt;&gt;"",J83,"")))</f>
        <v/>
      </c>
      <c r="M83" s="35"/>
      <c r="N83" s="35"/>
      <c r="O83" s="37" t="str">
        <f t="shared" si="2"/>
        <v/>
      </c>
      <c r="P83" s="35"/>
      <c r="Q83" s="35"/>
      <c r="R83" s="35"/>
    </row>
    <row r="84" spans="2:18" ht="15" customHeight="1">
      <c r="B84" s="35" t="s">
        <v>515</v>
      </c>
      <c r="C84" s="36" t="s">
        <v>516</v>
      </c>
      <c r="D84" s="35" t="s">
        <v>82</v>
      </c>
      <c r="E84" s="35" t="s">
        <v>202</v>
      </c>
      <c r="F84" s="35" t="s">
        <v>203</v>
      </c>
      <c r="G84" s="35"/>
      <c r="H84" s="35">
        <v>2</v>
      </c>
      <c r="I84" s="35"/>
      <c r="J84" s="37" t="str">
        <f>IF(I84="","",IF(Indicators!$H$82&lt;&gt;"Quantitative threshold","",IF(Indicators!$I$82="Higher",IF(N(I84)&gt;=Indicators!$O$82,5,IF(N(I84)&gt;=Indicators!$N$82,4,IF(N(I84)&gt;=Indicators!$M$82,3,IF(N(I84)&gt;=Indicators!$L$82,2,1)))),IF(N(I84)&lt;=Indicators!$O$82,5,IF(N(I84)&lt;=Indicators!$N$82,4,IF(N(I84)&lt;=Indicators!$M$82,3,IF(N(I84)&lt;=Indicators!$L$82,2,1)))))))</f>
        <v/>
      </c>
      <c r="K84" s="35"/>
      <c r="L84" s="37" t="str">
        <f>IF(Indicators!$D$82="C0","",IF(K84&lt;&gt;"",K84,IF(J84&lt;&gt;"",J84,"")))</f>
        <v/>
      </c>
      <c r="M84" s="35"/>
      <c r="N84" s="35"/>
      <c r="O84" s="37" t="str">
        <f t="shared" si="2"/>
        <v/>
      </c>
      <c r="P84" s="35"/>
      <c r="Q84" s="35"/>
      <c r="R84" s="35"/>
    </row>
    <row r="85" spans="2:18" ht="15" customHeight="1">
      <c r="B85" s="35" t="s">
        <v>519</v>
      </c>
      <c r="C85" s="36" t="s">
        <v>520</v>
      </c>
      <c r="D85" s="35" t="s">
        <v>82</v>
      </c>
      <c r="E85" s="35" t="s">
        <v>202</v>
      </c>
      <c r="F85" s="35" t="s">
        <v>203</v>
      </c>
      <c r="G85" s="35"/>
      <c r="H85" s="35">
        <v>2</v>
      </c>
      <c r="I85" s="35"/>
      <c r="J85" s="37" t="str">
        <f>IF(I85="","",IF(Indicators!$H$83&lt;&gt;"Quantitative threshold","",IF(Indicators!$I$83="Higher",IF(N(I85)&gt;=Indicators!$O$83,5,IF(N(I85)&gt;=Indicators!$N$83,4,IF(N(I85)&gt;=Indicators!$M$83,3,IF(N(I85)&gt;=Indicators!$L$83,2,1)))),IF(N(I85)&lt;=Indicators!$O$83,5,IF(N(I85)&lt;=Indicators!$N$83,4,IF(N(I85)&lt;=Indicators!$M$83,3,IF(N(I85)&lt;=Indicators!$L$83,2,1)))))))</f>
        <v/>
      </c>
      <c r="K85" s="35"/>
      <c r="L85" s="37" t="str">
        <f>IF(Indicators!$D$83="C0","",IF(K85&lt;&gt;"",K85,IF(J85&lt;&gt;"",J85,"")))</f>
        <v/>
      </c>
      <c r="M85" s="35"/>
      <c r="N85" s="35"/>
      <c r="O85" s="37" t="str">
        <f t="shared" si="2"/>
        <v/>
      </c>
      <c r="P85" s="35"/>
      <c r="Q85" s="35"/>
      <c r="R85" s="35"/>
    </row>
    <row r="86" spans="2:18" ht="15" customHeight="1">
      <c r="B86" s="35" t="s">
        <v>523</v>
      </c>
      <c r="C86" s="36" t="s">
        <v>524</v>
      </c>
      <c r="D86" s="35" t="s">
        <v>82</v>
      </c>
      <c r="E86" s="35" t="s">
        <v>202</v>
      </c>
      <c r="F86" s="35" t="s">
        <v>203</v>
      </c>
      <c r="G86" s="35"/>
      <c r="H86" s="35">
        <v>2</v>
      </c>
      <c r="I86" s="35"/>
      <c r="J86" s="37" t="str">
        <f>IF(I86="","",IF(Indicators!$H$84&lt;&gt;"Quantitative threshold","",IF(Indicators!$I$84="Higher",IF(N(I86)&gt;=Indicators!$O$84,5,IF(N(I86)&gt;=Indicators!$N$84,4,IF(N(I86)&gt;=Indicators!$M$84,3,IF(N(I86)&gt;=Indicators!$L$84,2,1)))),IF(N(I86)&lt;=Indicators!$O$84,5,IF(N(I86)&lt;=Indicators!$N$84,4,IF(N(I86)&lt;=Indicators!$M$84,3,IF(N(I86)&lt;=Indicators!$L$84,2,1)))))))</f>
        <v/>
      </c>
      <c r="K86" s="35"/>
      <c r="L86" s="37" t="str">
        <f>IF(Indicators!$D$84="C0","",IF(K86&lt;&gt;"",K86,IF(J86&lt;&gt;"",J86,"")))</f>
        <v/>
      </c>
      <c r="M86" s="35"/>
      <c r="N86" s="35"/>
      <c r="O86" s="37" t="str">
        <f t="shared" si="2"/>
        <v/>
      </c>
      <c r="P86" s="35"/>
      <c r="Q86" s="35"/>
      <c r="R86" s="35"/>
    </row>
    <row r="87" spans="2:18" ht="27.75" customHeight="1">
      <c r="B87" s="35" t="s">
        <v>526</v>
      </c>
      <c r="C87" s="36" t="s">
        <v>527</v>
      </c>
      <c r="D87" s="35" t="s">
        <v>82</v>
      </c>
      <c r="E87" s="35" t="s">
        <v>202</v>
      </c>
      <c r="F87" s="35" t="s">
        <v>203</v>
      </c>
      <c r="G87" s="35"/>
      <c r="H87" s="35">
        <v>2</v>
      </c>
      <c r="I87" s="35"/>
      <c r="J87" s="37" t="str">
        <f>IF(I87="","",IF(Indicators!$H$85&lt;&gt;"Quantitative threshold","",IF(Indicators!$I$85="Higher",IF(N(I87)&gt;=Indicators!$O$85,5,IF(N(I87)&gt;=Indicators!$N$85,4,IF(N(I87)&gt;=Indicators!$M$85,3,IF(N(I87)&gt;=Indicators!$L$85,2,1)))),IF(N(I87)&lt;=Indicators!$O$85,5,IF(N(I87)&lt;=Indicators!$N$85,4,IF(N(I87)&lt;=Indicators!$M$85,3,IF(N(I87)&lt;=Indicators!$L$85,2,1)))))))</f>
        <v/>
      </c>
      <c r="K87" s="35"/>
      <c r="L87" s="37" t="str">
        <f>IF(Indicators!$D$85="C0","",IF(K87&lt;&gt;"",K87,IF(J87&lt;&gt;"",J87,"")))</f>
        <v/>
      </c>
      <c r="M87" s="35"/>
      <c r="N87" s="35"/>
      <c r="O87" s="37" t="str">
        <f t="shared" si="2"/>
        <v/>
      </c>
      <c r="P87" s="35"/>
      <c r="Q87" s="35"/>
      <c r="R87" s="35"/>
    </row>
    <row r="88" spans="2:18" ht="15" customHeight="1">
      <c r="B88" s="35" t="s">
        <v>530</v>
      </c>
      <c r="C88" s="36" t="s">
        <v>531</v>
      </c>
      <c r="D88" s="35" t="s">
        <v>82</v>
      </c>
      <c r="E88" s="35" t="s">
        <v>196</v>
      </c>
      <c r="F88" s="35" t="s">
        <v>150</v>
      </c>
      <c r="G88" s="35"/>
      <c r="H88" s="35">
        <v>2</v>
      </c>
      <c r="I88" s="35"/>
      <c r="J88" s="37" t="str">
        <f>IF(I88="","",IF(Indicators!$H$86&lt;&gt;"Quantitative threshold","",IF(Indicators!$I$86="Higher",IF(N(I88)&gt;=Indicators!$O$86,5,IF(N(I88)&gt;=Indicators!$N$86,4,IF(N(I88)&gt;=Indicators!$M$86,3,IF(N(I88)&gt;=Indicators!$L$86,2,1)))),IF(N(I88)&lt;=Indicators!$O$86,5,IF(N(I88)&lt;=Indicators!$N$86,4,IF(N(I88)&lt;=Indicators!$M$86,3,IF(N(I88)&lt;=Indicators!$L$86,2,1)))))))</f>
        <v/>
      </c>
      <c r="K88" s="35"/>
      <c r="L88" s="37" t="str">
        <f>IF(Indicators!$D$86="C0","",IF(K88&lt;&gt;"",K88,IF(J88&lt;&gt;"",J88,"")))</f>
        <v/>
      </c>
      <c r="M88" s="35"/>
      <c r="N88" s="35"/>
      <c r="O88" s="37" t="str">
        <f t="shared" si="2"/>
        <v/>
      </c>
      <c r="P88" s="35"/>
      <c r="Q88" s="35"/>
      <c r="R88" s="35"/>
    </row>
    <row r="89" spans="2:18" ht="15" customHeight="1">
      <c r="B89" s="39" t="s">
        <v>534</v>
      </c>
      <c r="C89" s="36" t="s">
        <v>535</v>
      </c>
      <c r="D89" s="35" t="s">
        <v>82</v>
      </c>
      <c r="E89" s="35" t="s">
        <v>196</v>
      </c>
      <c r="F89" s="35" t="s">
        <v>150</v>
      </c>
      <c r="G89" s="39" t="s">
        <v>204</v>
      </c>
      <c r="H89" s="35">
        <v>2</v>
      </c>
      <c r="I89" s="35"/>
      <c r="J89" s="37" t="str">
        <f>IF(I89="","",IF(Indicators!$H$87&lt;&gt;"Quantitative threshold","",IF(Indicators!$I$87="Higher",IF(N(I89)&gt;=Indicators!$O$87,5,IF(N(I89)&gt;=Indicators!$N$87,4,IF(N(I89)&gt;=Indicators!$M$87,3,IF(N(I89)&gt;=Indicators!$L$87,2,1)))),IF(N(I89)&lt;=Indicators!$O$87,5,IF(N(I89)&lt;=Indicators!$N$87,4,IF(N(I89)&lt;=Indicators!$M$87,3,IF(N(I89)&lt;=Indicators!$L$87,2,1)))))))</f>
        <v/>
      </c>
      <c r="K89" s="35"/>
      <c r="L89" s="37" t="str">
        <f>IF(Indicators!$D$87="C0","",IF(K89&lt;&gt;"",K89,IF(J89&lt;&gt;"",J89,"")))</f>
        <v/>
      </c>
      <c r="M89" s="35"/>
      <c r="N89" s="35"/>
      <c r="O89" s="37" t="str">
        <f t="shared" si="2"/>
        <v/>
      </c>
      <c r="P89" s="35"/>
      <c r="Q89" s="35"/>
      <c r="R89" s="35"/>
    </row>
    <row r="90" spans="2:18" ht="27.75" customHeight="1">
      <c r="B90" s="35" t="s">
        <v>538</v>
      </c>
      <c r="C90" s="36" t="s">
        <v>539</v>
      </c>
      <c r="D90" s="35" t="s">
        <v>82</v>
      </c>
      <c r="E90" s="35" t="s">
        <v>196</v>
      </c>
      <c r="F90" s="35" t="s">
        <v>150</v>
      </c>
      <c r="G90" s="35"/>
      <c r="H90" s="35">
        <v>2</v>
      </c>
      <c r="I90" s="35"/>
      <c r="J90" s="37" t="str">
        <f>IF(I90="","",IF(Indicators!$H$88&lt;&gt;"Quantitative threshold","",IF(Indicators!$I$88="Higher",IF(N(I90)&gt;=Indicators!$O$88,5,IF(N(I90)&gt;=Indicators!$N$88,4,IF(N(I90)&gt;=Indicators!$M$88,3,IF(N(I90)&gt;=Indicators!$L$88,2,1)))),IF(N(I90)&lt;=Indicators!$O$88,5,IF(N(I90)&lt;=Indicators!$N$88,4,IF(N(I90)&lt;=Indicators!$M$88,3,IF(N(I90)&lt;=Indicators!$L$88,2,1)))))))</f>
        <v/>
      </c>
      <c r="K90" s="35"/>
      <c r="L90" s="37" t="str">
        <f>IF(Indicators!$D$88="C0","",IF(K90&lt;&gt;"",K90,IF(J90&lt;&gt;"",J90,"")))</f>
        <v/>
      </c>
      <c r="M90" s="35"/>
      <c r="N90" s="35"/>
      <c r="O90" s="37" t="str">
        <f t="shared" si="2"/>
        <v/>
      </c>
      <c r="P90" s="35"/>
      <c r="Q90" s="35"/>
      <c r="R90" s="35"/>
    </row>
    <row r="91" spans="2:18" ht="15" customHeight="1">
      <c r="B91" s="35" t="s">
        <v>541</v>
      </c>
      <c r="C91" s="36" t="s">
        <v>542</v>
      </c>
      <c r="D91" s="35" t="s">
        <v>82</v>
      </c>
      <c r="E91" s="35" t="s">
        <v>196</v>
      </c>
      <c r="F91" s="35" t="s">
        <v>150</v>
      </c>
      <c r="G91" s="35"/>
      <c r="H91" s="35">
        <v>2</v>
      </c>
      <c r="I91" s="35"/>
      <c r="J91" s="37" t="str">
        <f>IF(I91="","",IF(Indicators!$H$89&lt;&gt;"Quantitative threshold","",IF(Indicators!$I$89="Higher",IF(N(I91)&gt;=Indicators!$O$89,5,IF(N(I91)&gt;=Indicators!$N$89,4,IF(N(I91)&gt;=Indicators!$M$89,3,IF(N(I91)&gt;=Indicators!$L$89,2,1)))),IF(N(I91)&lt;=Indicators!$O$89,5,IF(N(I91)&lt;=Indicators!$N$89,4,IF(N(I91)&lt;=Indicators!$M$89,3,IF(N(I91)&lt;=Indicators!$L$89,2,1)))))))</f>
        <v/>
      </c>
      <c r="K91" s="35"/>
      <c r="L91" s="37" t="str">
        <f>IF(Indicators!$D$89="C0","",IF(K91&lt;&gt;"",K91,IF(J91&lt;&gt;"",J91,"")))</f>
        <v/>
      </c>
      <c r="M91" s="35"/>
      <c r="N91" s="35"/>
      <c r="O91" s="37" t="str">
        <f t="shared" si="2"/>
        <v/>
      </c>
      <c r="P91" s="35"/>
      <c r="Q91" s="35"/>
      <c r="R91" s="35"/>
    </row>
    <row r="92" spans="2:18" ht="15" customHeight="1">
      <c r="B92" s="39" t="s">
        <v>544</v>
      </c>
      <c r="C92" s="36" t="s">
        <v>545</v>
      </c>
      <c r="D92" s="35" t="s">
        <v>82</v>
      </c>
      <c r="E92" s="35" t="s">
        <v>196</v>
      </c>
      <c r="F92" s="35" t="s">
        <v>150</v>
      </c>
      <c r="G92" s="39" t="s">
        <v>204</v>
      </c>
      <c r="H92" s="35">
        <v>2</v>
      </c>
      <c r="I92" s="35"/>
      <c r="J92" s="37" t="str">
        <f>IF(I92="","",IF(Indicators!$H$90&lt;&gt;"Quantitative threshold","",IF(Indicators!$I$90="Higher",IF(N(I92)&gt;=Indicators!$O$90,5,IF(N(I92)&gt;=Indicators!$N$90,4,IF(N(I92)&gt;=Indicators!$M$90,3,IF(N(I92)&gt;=Indicators!$L$90,2,1)))),IF(N(I92)&lt;=Indicators!$O$90,5,IF(N(I92)&lt;=Indicators!$N$90,4,IF(N(I92)&lt;=Indicators!$M$90,3,IF(N(I92)&lt;=Indicators!$L$90,2,1)))))))</f>
        <v/>
      </c>
      <c r="K92" s="35"/>
      <c r="L92" s="37" t="str">
        <f>IF(Indicators!$D$90="C0","",IF(K92&lt;&gt;"",K92,IF(J92&lt;&gt;"",J92,"")))</f>
        <v/>
      </c>
      <c r="M92" s="35"/>
      <c r="N92" s="35"/>
      <c r="O92" s="37" t="str">
        <f t="shared" si="2"/>
        <v/>
      </c>
      <c r="P92" s="35"/>
      <c r="Q92" s="35"/>
      <c r="R92" s="35"/>
    </row>
    <row r="93" spans="2:18" ht="15" customHeight="1">
      <c r="B93" s="35" t="s">
        <v>548</v>
      </c>
      <c r="C93" s="36" t="s">
        <v>549</v>
      </c>
      <c r="D93" s="35" t="s">
        <v>84</v>
      </c>
      <c r="E93" s="35" t="s">
        <v>202</v>
      </c>
      <c r="F93" s="35" t="s">
        <v>221</v>
      </c>
      <c r="G93" s="35"/>
      <c r="H93" s="35">
        <v>3</v>
      </c>
      <c r="I93" s="35"/>
      <c r="J93" s="37" t="str">
        <f>IF(I93="","",IF(Indicators!$H$91&lt;&gt;"Quantitative threshold","",IF(Indicators!$I$91="Higher",IF(N(I93)&gt;=Indicators!$O$91,5,IF(N(I93)&gt;=Indicators!$N$91,4,IF(N(I93)&gt;=Indicators!$M$91,3,IF(N(I93)&gt;=Indicators!$L$91,2,1)))),IF(N(I93)&lt;=Indicators!$O$91,5,IF(N(I93)&lt;=Indicators!$N$91,4,IF(N(I93)&lt;=Indicators!$M$91,3,IF(N(I93)&lt;=Indicators!$L$91,2,1)))))))</f>
        <v/>
      </c>
      <c r="K93" s="35"/>
      <c r="L93" s="37" t="str">
        <f>IF(Indicators!$D$91="C0","",IF(K93&lt;&gt;"",K93,IF(J93&lt;&gt;"",J93,"")))</f>
        <v/>
      </c>
      <c r="M93" s="35"/>
      <c r="N93" s="35"/>
      <c r="O93" s="37" t="str">
        <f t="shared" si="2"/>
        <v/>
      </c>
      <c r="P93" s="35"/>
      <c r="Q93" s="35"/>
      <c r="R93" s="35"/>
    </row>
    <row r="94" spans="2:18" ht="15" customHeight="1">
      <c r="B94" s="35" t="s">
        <v>553</v>
      </c>
      <c r="C94" s="36" t="s">
        <v>554</v>
      </c>
      <c r="D94" s="35" t="s">
        <v>84</v>
      </c>
      <c r="E94" s="35" t="s">
        <v>202</v>
      </c>
      <c r="F94" s="35" t="s">
        <v>203</v>
      </c>
      <c r="G94" s="35"/>
      <c r="H94" s="35">
        <v>3</v>
      </c>
      <c r="I94" s="35"/>
      <c r="J94" s="37" t="str">
        <f>IF(I94="","",IF(Indicators!$H$92&lt;&gt;"Quantitative threshold","",IF(Indicators!$I$92="Higher",IF(N(I94)&gt;=Indicators!$O$92,5,IF(N(I94)&gt;=Indicators!$N$92,4,IF(N(I94)&gt;=Indicators!$M$92,3,IF(N(I94)&gt;=Indicators!$L$92,2,1)))),IF(N(I94)&lt;=Indicators!$O$92,5,IF(N(I94)&lt;=Indicators!$N$92,4,IF(N(I94)&lt;=Indicators!$M$92,3,IF(N(I94)&lt;=Indicators!$L$92,2,1)))))))</f>
        <v/>
      </c>
      <c r="K94" s="35"/>
      <c r="L94" s="37" t="str">
        <f>IF(Indicators!$D$92="C0","",IF(K94&lt;&gt;"",K94,IF(J94&lt;&gt;"",J94,"")))</f>
        <v/>
      </c>
      <c r="M94" s="35"/>
      <c r="N94" s="35"/>
      <c r="O94" s="37" t="str">
        <f t="shared" si="2"/>
        <v/>
      </c>
      <c r="P94" s="35"/>
      <c r="Q94" s="35"/>
      <c r="R94" s="35"/>
    </row>
    <row r="95" spans="2:18" ht="27.75" customHeight="1">
      <c r="B95" s="35" t="s">
        <v>558</v>
      </c>
      <c r="C95" s="36" t="s">
        <v>559</v>
      </c>
      <c r="D95" s="35" t="s">
        <v>84</v>
      </c>
      <c r="E95" s="35" t="s">
        <v>202</v>
      </c>
      <c r="F95" s="35" t="s">
        <v>221</v>
      </c>
      <c r="G95" s="35"/>
      <c r="H95" s="35">
        <v>3</v>
      </c>
      <c r="I95" s="35"/>
      <c r="J95" s="37" t="str">
        <f>IF(I95="","",IF(Indicators!$H$93&lt;&gt;"Quantitative threshold","",IF(Indicators!$I$93="Higher",IF(N(I95)&gt;=Indicators!$O$93,5,IF(N(I95)&gt;=Indicators!$N$93,4,IF(N(I95)&gt;=Indicators!$M$93,3,IF(N(I95)&gt;=Indicators!$L$93,2,1)))),IF(N(I95)&lt;=Indicators!$O$93,5,IF(N(I95)&lt;=Indicators!$N$93,4,IF(N(I95)&lt;=Indicators!$M$93,3,IF(N(I95)&lt;=Indicators!$L$93,2,1)))))))</f>
        <v/>
      </c>
      <c r="K95" s="35"/>
      <c r="L95" s="37" t="str">
        <f>IF(Indicators!$D$93="C0","",IF(K95&lt;&gt;"",K95,IF(J95&lt;&gt;"",J95,"")))</f>
        <v/>
      </c>
      <c r="M95" s="35"/>
      <c r="N95" s="35"/>
      <c r="O95" s="37" t="str">
        <f t="shared" si="2"/>
        <v/>
      </c>
      <c r="P95" s="35"/>
      <c r="Q95" s="35"/>
      <c r="R95" s="35"/>
    </row>
    <row r="96" spans="2:18" ht="15" customHeight="1">
      <c r="B96" s="35" t="s">
        <v>563</v>
      </c>
      <c r="C96" s="36" t="s">
        <v>564</v>
      </c>
      <c r="D96" s="35" t="s">
        <v>84</v>
      </c>
      <c r="E96" s="35" t="s">
        <v>202</v>
      </c>
      <c r="F96" s="35" t="s">
        <v>203</v>
      </c>
      <c r="G96" s="35"/>
      <c r="H96" s="35">
        <v>3</v>
      </c>
      <c r="I96" s="35"/>
      <c r="J96" s="37" t="str">
        <f>IF(I96="","",IF(Indicators!$H$94&lt;&gt;"Quantitative threshold","",IF(Indicators!$I$94="Higher",IF(N(I96)&gt;=Indicators!$O$94,5,IF(N(I96)&gt;=Indicators!$N$94,4,IF(N(I96)&gt;=Indicators!$M$94,3,IF(N(I96)&gt;=Indicators!$L$94,2,1)))),IF(N(I96)&lt;=Indicators!$O$94,5,IF(N(I96)&lt;=Indicators!$N$94,4,IF(N(I96)&lt;=Indicators!$M$94,3,IF(N(I96)&lt;=Indicators!$L$94,2,1)))))))</f>
        <v/>
      </c>
      <c r="K96" s="35"/>
      <c r="L96" s="37" t="str">
        <f>IF(Indicators!$D$94="C0","",IF(K96&lt;&gt;"",K96,IF(J96&lt;&gt;"",J96,"")))</f>
        <v/>
      </c>
      <c r="M96" s="35"/>
      <c r="N96" s="35"/>
      <c r="O96" s="37" t="str">
        <f t="shared" si="2"/>
        <v/>
      </c>
      <c r="P96" s="35"/>
      <c r="Q96" s="35"/>
      <c r="R96" s="35"/>
    </row>
    <row r="97" spans="2:18" ht="15" customHeight="1">
      <c r="B97" s="35" t="s">
        <v>568</v>
      </c>
      <c r="C97" s="36" t="s">
        <v>569</v>
      </c>
      <c r="D97" s="35" t="s">
        <v>84</v>
      </c>
      <c r="E97" s="35" t="s">
        <v>202</v>
      </c>
      <c r="F97" s="35" t="s">
        <v>203</v>
      </c>
      <c r="G97" s="35"/>
      <c r="H97" s="35">
        <v>3</v>
      </c>
      <c r="I97" s="35"/>
      <c r="J97" s="37" t="str">
        <f>IF(I97="","",IF(Indicators!$H$95&lt;&gt;"Quantitative threshold","",IF(Indicators!$I$95="Higher",IF(N(I97)&gt;=Indicators!$O$95,5,IF(N(I97)&gt;=Indicators!$N$95,4,IF(N(I97)&gt;=Indicators!$M$95,3,IF(N(I97)&gt;=Indicators!$L$95,2,1)))),IF(N(I97)&lt;=Indicators!$O$95,5,IF(N(I97)&lt;=Indicators!$N$95,4,IF(N(I97)&lt;=Indicators!$M$95,3,IF(N(I97)&lt;=Indicators!$L$95,2,1)))))))</f>
        <v/>
      </c>
      <c r="K97" s="35"/>
      <c r="L97" s="37" t="str">
        <f>IF(Indicators!$D$95="C0","",IF(K97&lt;&gt;"",K97,IF(J97&lt;&gt;"",J97,"")))</f>
        <v/>
      </c>
      <c r="M97" s="35"/>
      <c r="N97" s="35"/>
      <c r="O97" s="37" t="str">
        <f t="shared" si="2"/>
        <v/>
      </c>
      <c r="P97" s="35"/>
      <c r="Q97" s="35"/>
      <c r="R97" s="35"/>
    </row>
    <row r="98" spans="2:18" ht="27.75" customHeight="1">
      <c r="B98" s="35" t="s">
        <v>573</v>
      </c>
      <c r="C98" s="36" t="s">
        <v>574</v>
      </c>
      <c r="D98" s="35" t="s">
        <v>84</v>
      </c>
      <c r="E98" s="35" t="s">
        <v>202</v>
      </c>
      <c r="F98" s="35" t="s">
        <v>221</v>
      </c>
      <c r="G98" s="35"/>
      <c r="H98" s="35">
        <v>3</v>
      </c>
      <c r="I98" s="35"/>
      <c r="J98" s="37" t="str">
        <f>IF(I98="","",IF(Indicators!$H$96&lt;&gt;"Quantitative threshold","",IF(Indicators!$I$96="Higher",IF(N(I98)&gt;=Indicators!$O$96,5,IF(N(I98)&gt;=Indicators!$N$96,4,IF(N(I98)&gt;=Indicators!$M$96,3,IF(N(I98)&gt;=Indicators!$L$96,2,1)))),IF(N(I98)&lt;=Indicators!$O$96,5,IF(N(I98)&lt;=Indicators!$N$96,4,IF(N(I98)&lt;=Indicators!$M$96,3,IF(N(I98)&lt;=Indicators!$L$96,2,1)))))))</f>
        <v/>
      </c>
      <c r="K98" s="35"/>
      <c r="L98" s="37" t="str">
        <f>IF(Indicators!$D$96="C0","",IF(K98&lt;&gt;"",K98,IF(J98&lt;&gt;"",J98,"")))</f>
        <v/>
      </c>
      <c r="M98" s="35"/>
      <c r="N98" s="35"/>
      <c r="O98" s="37" t="str">
        <f t="shared" si="2"/>
        <v/>
      </c>
      <c r="P98" s="35"/>
      <c r="Q98" s="35"/>
      <c r="R98" s="35"/>
    </row>
    <row r="99" spans="2:18" ht="27.75" customHeight="1">
      <c r="B99" s="35" t="s">
        <v>578</v>
      </c>
      <c r="C99" s="36" t="s">
        <v>579</v>
      </c>
      <c r="D99" s="35" t="s">
        <v>84</v>
      </c>
      <c r="E99" s="35" t="s">
        <v>202</v>
      </c>
      <c r="F99" s="35" t="s">
        <v>203</v>
      </c>
      <c r="G99" s="35"/>
      <c r="H99" s="35">
        <v>3</v>
      </c>
      <c r="I99" s="35"/>
      <c r="J99" s="37" t="str">
        <f>IF(I99="","",IF(Indicators!$H$97&lt;&gt;"Quantitative threshold","",IF(Indicators!$I$97="Higher",IF(N(I99)&gt;=Indicators!$O$97,5,IF(N(I99)&gt;=Indicators!$N$97,4,IF(N(I99)&gt;=Indicators!$M$97,3,IF(N(I99)&gt;=Indicators!$L$97,2,1)))),IF(N(I99)&lt;=Indicators!$O$97,5,IF(N(I99)&lt;=Indicators!$N$97,4,IF(N(I99)&lt;=Indicators!$M$97,3,IF(N(I99)&lt;=Indicators!$L$97,2,1)))))))</f>
        <v/>
      </c>
      <c r="K99" s="35"/>
      <c r="L99" s="37" t="str">
        <f>IF(Indicators!$D$97="C0","",IF(K99&lt;&gt;"",K99,IF(J99&lt;&gt;"",J99,"")))</f>
        <v/>
      </c>
      <c r="M99" s="35"/>
      <c r="N99" s="35"/>
      <c r="O99" s="37" t="str">
        <f t="shared" si="2"/>
        <v/>
      </c>
      <c r="P99" s="35"/>
      <c r="Q99" s="35"/>
      <c r="R99" s="35"/>
    </row>
    <row r="100" spans="2:18" ht="27.75" customHeight="1">
      <c r="B100" s="35" t="s">
        <v>582</v>
      </c>
      <c r="C100" s="36" t="s">
        <v>583</v>
      </c>
      <c r="D100" s="35" t="s">
        <v>84</v>
      </c>
      <c r="E100" s="35" t="s">
        <v>202</v>
      </c>
      <c r="F100" s="35" t="s">
        <v>203</v>
      </c>
      <c r="G100" s="35"/>
      <c r="H100" s="35">
        <v>3</v>
      </c>
      <c r="I100" s="35"/>
      <c r="J100" s="37" t="str">
        <f>IF(I100="","",IF(Indicators!$H$98&lt;&gt;"Quantitative threshold","",IF(Indicators!$I$98="Higher",IF(N(I100)&gt;=Indicators!$O$98,5,IF(N(I100)&gt;=Indicators!$N$98,4,IF(N(I100)&gt;=Indicators!$M$98,3,IF(N(I100)&gt;=Indicators!$L$98,2,1)))),IF(N(I100)&lt;=Indicators!$O$98,5,IF(N(I100)&lt;=Indicators!$N$98,4,IF(N(I100)&lt;=Indicators!$M$98,3,IF(N(I100)&lt;=Indicators!$L$98,2,1)))))))</f>
        <v/>
      </c>
      <c r="K100" s="35"/>
      <c r="L100" s="37" t="str">
        <f>IF(Indicators!$D$98="C0","",IF(K100&lt;&gt;"",K100,IF(J100&lt;&gt;"",J100,"")))</f>
        <v/>
      </c>
      <c r="M100" s="35"/>
      <c r="N100" s="35"/>
      <c r="O100" s="37" t="str">
        <f t="shared" si="2"/>
        <v/>
      </c>
      <c r="P100" s="35"/>
      <c r="Q100" s="35"/>
      <c r="R100" s="35"/>
    </row>
    <row r="101" spans="2:18" ht="27.75" customHeight="1">
      <c r="B101" s="35" t="s">
        <v>586</v>
      </c>
      <c r="C101" s="36" t="s">
        <v>587</v>
      </c>
      <c r="D101" s="35" t="s">
        <v>84</v>
      </c>
      <c r="E101" s="35" t="s">
        <v>202</v>
      </c>
      <c r="F101" s="35" t="s">
        <v>203</v>
      </c>
      <c r="G101" s="35"/>
      <c r="H101" s="35">
        <v>3</v>
      </c>
      <c r="I101" s="35"/>
      <c r="J101" s="37" t="str">
        <f>IF(I101="","",IF(Indicators!$H$99&lt;&gt;"Quantitative threshold","",IF(Indicators!$I$99="Higher",IF(N(I101)&gt;=Indicators!$O$99,5,IF(N(I101)&gt;=Indicators!$N$99,4,IF(N(I101)&gt;=Indicators!$M$99,3,IF(N(I101)&gt;=Indicators!$L$99,2,1)))),IF(N(I101)&lt;=Indicators!$O$99,5,IF(N(I101)&lt;=Indicators!$N$99,4,IF(N(I101)&lt;=Indicators!$M$99,3,IF(N(I101)&lt;=Indicators!$L$99,2,1)))))))</f>
        <v/>
      </c>
      <c r="K101" s="35"/>
      <c r="L101" s="37" t="str">
        <f>IF(Indicators!$D$99="C0","",IF(K101&lt;&gt;"",K101,IF(J101&lt;&gt;"",J101,"")))</f>
        <v/>
      </c>
      <c r="M101" s="35"/>
      <c r="N101" s="35"/>
      <c r="O101" s="37" t="str">
        <f t="shared" si="2"/>
        <v/>
      </c>
      <c r="P101" s="35"/>
      <c r="Q101" s="35"/>
      <c r="R101" s="35"/>
    </row>
    <row r="102" spans="2:18" ht="27.75" customHeight="1">
      <c r="B102" s="35" t="s">
        <v>590</v>
      </c>
      <c r="C102" s="36" t="s">
        <v>591</v>
      </c>
      <c r="D102" s="35" t="s">
        <v>84</v>
      </c>
      <c r="E102" s="35" t="s">
        <v>202</v>
      </c>
      <c r="F102" s="35" t="s">
        <v>203</v>
      </c>
      <c r="G102" s="35"/>
      <c r="H102" s="35">
        <v>3</v>
      </c>
      <c r="I102" s="35"/>
      <c r="J102" s="37" t="str">
        <f>IF(I102="","",IF(Indicators!$H$100&lt;&gt;"Quantitative threshold","",IF(Indicators!$I$100="Higher",IF(N(I102)&gt;=Indicators!$O$100,5,IF(N(I102)&gt;=Indicators!$N$100,4,IF(N(I102)&gt;=Indicators!$M$100,3,IF(N(I102)&gt;=Indicators!$L$100,2,1)))),IF(N(I102)&lt;=Indicators!$O$100,5,IF(N(I102)&lt;=Indicators!$N$100,4,IF(N(I102)&lt;=Indicators!$M$100,3,IF(N(I102)&lt;=Indicators!$L$100,2,1)))))))</f>
        <v/>
      </c>
      <c r="K102" s="35"/>
      <c r="L102" s="37" t="str">
        <f>IF(Indicators!$D$100="C0","",IF(K102&lt;&gt;"",K102,IF(J102&lt;&gt;"",J102,"")))</f>
        <v/>
      </c>
      <c r="M102" s="35"/>
      <c r="N102" s="35"/>
      <c r="O102" s="37" t="str">
        <f t="shared" si="2"/>
        <v/>
      </c>
      <c r="P102" s="35"/>
      <c r="Q102" s="35"/>
      <c r="R102" s="35"/>
    </row>
    <row r="103" spans="2:18" ht="27.75" customHeight="1">
      <c r="B103" s="35" t="s">
        <v>594</v>
      </c>
      <c r="C103" s="36" t="s">
        <v>595</v>
      </c>
      <c r="D103" s="35" t="s">
        <v>84</v>
      </c>
      <c r="E103" s="35" t="s">
        <v>202</v>
      </c>
      <c r="F103" s="35" t="s">
        <v>203</v>
      </c>
      <c r="G103" s="35"/>
      <c r="H103" s="35">
        <v>3</v>
      </c>
      <c r="I103" s="35"/>
      <c r="J103" s="37" t="str">
        <f>IF(I103="","",IF(Indicators!$H$101&lt;&gt;"Quantitative threshold","",IF(Indicators!$I$101="Higher",IF(N(I103)&gt;=Indicators!$O$101,5,IF(N(I103)&gt;=Indicators!$N$101,4,IF(N(I103)&gt;=Indicators!$M$101,3,IF(N(I103)&gt;=Indicators!$L$101,2,1)))),IF(N(I103)&lt;=Indicators!$O$101,5,IF(N(I103)&lt;=Indicators!$N$101,4,IF(N(I103)&lt;=Indicators!$M$101,3,IF(N(I103)&lt;=Indicators!$L$101,2,1)))))))</f>
        <v/>
      </c>
      <c r="K103" s="35"/>
      <c r="L103" s="37" t="str">
        <f>IF(Indicators!$D$101="C0","",IF(K103&lt;&gt;"",K103,IF(J103&lt;&gt;"",J103,"")))</f>
        <v/>
      </c>
      <c r="M103" s="35"/>
      <c r="N103" s="35"/>
      <c r="O103" s="37" t="str">
        <f t="shared" si="2"/>
        <v/>
      </c>
      <c r="P103" s="35"/>
      <c r="Q103" s="35"/>
      <c r="R103" s="35"/>
    </row>
    <row r="104" spans="2:18" ht="27.75" customHeight="1">
      <c r="B104" s="35" t="s">
        <v>599</v>
      </c>
      <c r="C104" s="36" t="s">
        <v>600</v>
      </c>
      <c r="D104" s="35" t="s">
        <v>84</v>
      </c>
      <c r="E104" s="35" t="s">
        <v>601</v>
      </c>
      <c r="F104" s="35" t="s">
        <v>150</v>
      </c>
      <c r="G104" s="35"/>
      <c r="H104" s="35">
        <v>3</v>
      </c>
      <c r="I104" s="35"/>
      <c r="J104" s="37" t="str">
        <f>IF(I104="","",IF(Indicators!$H$102&lt;&gt;"Quantitative threshold","",IF(Indicators!$I$102="Higher",IF(N(I104)&gt;=Indicators!$O$102,5,IF(N(I104)&gt;=Indicators!$N$102,4,IF(N(I104)&gt;=Indicators!$M$102,3,IF(N(I104)&gt;=Indicators!$L$102,2,1)))),IF(N(I104)&lt;=Indicators!$O$102,5,IF(N(I104)&lt;=Indicators!$N$102,4,IF(N(I104)&lt;=Indicators!$M$102,3,IF(N(I104)&lt;=Indicators!$L$102,2,1)))))))</f>
        <v/>
      </c>
      <c r="K104" s="35"/>
      <c r="L104" s="37" t="str">
        <f>IF(Indicators!$D$102="C0","",IF(K104&lt;&gt;"",K104,IF(J104&lt;&gt;"",J104,"")))</f>
        <v/>
      </c>
      <c r="M104" s="35"/>
      <c r="N104" s="35"/>
      <c r="O104" s="37" t="str">
        <f t="shared" ref="O104:O135" si="3">IF(N104="","",IF(N104&lt;($L$5-H104),"STALE",""))</f>
        <v/>
      </c>
      <c r="P104" s="35"/>
      <c r="Q104" s="35"/>
      <c r="R104" s="35"/>
    </row>
    <row r="105" spans="2:18" ht="27.75" customHeight="1">
      <c r="B105" s="35" t="s">
        <v>605</v>
      </c>
      <c r="C105" s="36" t="s">
        <v>606</v>
      </c>
      <c r="D105" s="35" t="s">
        <v>84</v>
      </c>
      <c r="E105" s="35" t="s">
        <v>601</v>
      </c>
      <c r="F105" s="35" t="s">
        <v>150</v>
      </c>
      <c r="G105" s="35"/>
      <c r="H105" s="35">
        <v>3</v>
      </c>
      <c r="I105" s="35"/>
      <c r="J105" s="37" t="str">
        <f>IF(I105="","",IF(Indicators!$H$103&lt;&gt;"Quantitative threshold","",IF(Indicators!$I$103="Higher",IF(N(I105)&gt;=Indicators!$O$103,5,IF(N(I105)&gt;=Indicators!$N$103,4,IF(N(I105)&gt;=Indicators!$M$103,3,IF(N(I105)&gt;=Indicators!$L$103,2,1)))),IF(N(I105)&lt;=Indicators!$O$103,5,IF(N(I105)&lt;=Indicators!$N$103,4,IF(N(I105)&lt;=Indicators!$M$103,3,IF(N(I105)&lt;=Indicators!$L$103,2,1)))))))</f>
        <v/>
      </c>
      <c r="K105" s="35"/>
      <c r="L105" s="37" t="str">
        <f>IF(Indicators!$D$103="C0","",IF(K105&lt;&gt;"",K105,IF(J105&lt;&gt;"",J105,"")))</f>
        <v/>
      </c>
      <c r="M105" s="35"/>
      <c r="N105" s="35"/>
      <c r="O105" s="37" t="str">
        <f t="shared" si="3"/>
        <v/>
      </c>
      <c r="P105" s="35"/>
      <c r="Q105" s="35"/>
      <c r="R105" s="35"/>
    </row>
    <row r="106" spans="2:18" ht="15" customHeight="1">
      <c r="B106" s="35" t="s">
        <v>609</v>
      </c>
      <c r="C106" s="36" t="s">
        <v>610</v>
      </c>
      <c r="D106" s="35" t="s">
        <v>84</v>
      </c>
      <c r="E106" s="35" t="s">
        <v>202</v>
      </c>
      <c r="F106" s="35" t="s">
        <v>203</v>
      </c>
      <c r="G106" s="35"/>
      <c r="H106" s="35">
        <v>3</v>
      </c>
      <c r="I106" s="35"/>
      <c r="J106" s="37" t="str">
        <f>IF(I106="","",IF(Indicators!$H$104&lt;&gt;"Quantitative threshold","",IF(Indicators!$I$104="Higher",IF(N(I106)&gt;=Indicators!$O$104,5,IF(N(I106)&gt;=Indicators!$N$104,4,IF(N(I106)&gt;=Indicators!$M$104,3,IF(N(I106)&gt;=Indicators!$L$104,2,1)))),IF(N(I106)&lt;=Indicators!$O$104,5,IF(N(I106)&lt;=Indicators!$N$104,4,IF(N(I106)&lt;=Indicators!$M$104,3,IF(N(I106)&lt;=Indicators!$L$104,2,1)))))))</f>
        <v/>
      </c>
      <c r="K106" s="35"/>
      <c r="L106" s="37" t="str">
        <f>IF(Indicators!$D$104="C0","",IF(K106&lt;&gt;"",K106,IF(J106&lt;&gt;"",J106,"")))</f>
        <v/>
      </c>
      <c r="M106" s="35"/>
      <c r="N106" s="35"/>
      <c r="O106" s="37" t="str">
        <f t="shared" si="3"/>
        <v/>
      </c>
      <c r="P106" s="35"/>
      <c r="Q106" s="35"/>
      <c r="R106" s="35"/>
    </row>
    <row r="107" spans="2:18" ht="27.75" customHeight="1">
      <c r="B107" s="35" t="s">
        <v>613</v>
      </c>
      <c r="C107" s="36" t="s">
        <v>614</v>
      </c>
      <c r="D107" s="35" t="s">
        <v>84</v>
      </c>
      <c r="E107" s="35" t="s">
        <v>202</v>
      </c>
      <c r="F107" s="35" t="s">
        <v>203</v>
      </c>
      <c r="G107" s="35"/>
      <c r="H107" s="35">
        <v>3</v>
      </c>
      <c r="I107" s="35"/>
      <c r="J107" s="37" t="str">
        <f>IF(I107="","",IF(Indicators!$H$105&lt;&gt;"Quantitative threshold","",IF(Indicators!$I$105="Higher",IF(N(I107)&gt;=Indicators!$O$105,5,IF(N(I107)&gt;=Indicators!$N$105,4,IF(N(I107)&gt;=Indicators!$M$105,3,IF(N(I107)&gt;=Indicators!$L$105,2,1)))),IF(N(I107)&lt;=Indicators!$O$105,5,IF(N(I107)&lt;=Indicators!$N$105,4,IF(N(I107)&lt;=Indicators!$M$105,3,IF(N(I107)&lt;=Indicators!$L$105,2,1)))))))</f>
        <v/>
      </c>
      <c r="K107" s="35"/>
      <c r="L107" s="37" t="str">
        <f>IF(Indicators!$D$105="C0","",IF(K107&lt;&gt;"",K107,IF(J107&lt;&gt;"",J107,"")))</f>
        <v/>
      </c>
      <c r="M107" s="35"/>
      <c r="N107" s="35"/>
      <c r="O107" s="37" t="str">
        <f t="shared" si="3"/>
        <v/>
      </c>
      <c r="P107" s="35"/>
      <c r="Q107" s="35"/>
      <c r="R107" s="35"/>
    </row>
    <row r="108" spans="2:18" ht="15" customHeight="1">
      <c r="B108" s="35" t="s">
        <v>617</v>
      </c>
      <c r="C108" s="36" t="s">
        <v>618</v>
      </c>
      <c r="D108" s="35" t="s">
        <v>84</v>
      </c>
      <c r="E108" s="35" t="s">
        <v>196</v>
      </c>
      <c r="F108" s="35" t="s">
        <v>150</v>
      </c>
      <c r="G108" s="35"/>
      <c r="H108" s="35">
        <v>3</v>
      </c>
      <c r="I108" s="35"/>
      <c r="J108" s="37" t="str">
        <f>IF(I108="","",IF(Indicators!$H$106&lt;&gt;"Quantitative threshold","",IF(Indicators!$I$106="Higher",IF(N(I108)&gt;=Indicators!$O$106,5,IF(N(I108)&gt;=Indicators!$N$106,4,IF(N(I108)&gt;=Indicators!$M$106,3,IF(N(I108)&gt;=Indicators!$L$106,2,1)))),IF(N(I108)&lt;=Indicators!$O$106,5,IF(N(I108)&lt;=Indicators!$N$106,4,IF(N(I108)&lt;=Indicators!$M$106,3,IF(N(I108)&lt;=Indicators!$L$106,2,1)))))))</f>
        <v/>
      </c>
      <c r="K108" s="35"/>
      <c r="L108" s="37" t="str">
        <f>IF(Indicators!$D$106="C0","",IF(K108&lt;&gt;"",K108,IF(J108&lt;&gt;"",J108,"")))</f>
        <v/>
      </c>
      <c r="M108" s="35"/>
      <c r="N108" s="35"/>
      <c r="O108" s="37" t="str">
        <f t="shared" si="3"/>
        <v/>
      </c>
      <c r="P108" s="35"/>
      <c r="Q108" s="35"/>
      <c r="R108" s="35"/>
    </row>
    <row r="109" spans="2:18" ht="27.75" customHeight="1">
      <c r="B109" s="35" t="s">
        <v>620</v>
      </c>
      <c r="C109" s="36" t="s">
        <v>621</v>
      </c>
      <c r="D109" s="35" t="s">
        <v>84</v>
      </c>
      <c r="E109" s="35" t="s">
        <v>202</v>
      </c>
      <c r="F109" s="35" t="s">
        <v>203</v>
      </c>
      <c r="G109" s="35"/>
      <c r="H109" s="35">
        <v>2</v>
      </c>
      <c r="I109" s="35"/>
      <c r="J109" s="37" t="str">
        <f>IF(I109="","",IF(Indicators!$H$107&lt;&gt;"Quantitative threshold","",IF(Indicators!$I$107="Higher",IF(N(I109)&gt;=Indicators!$O$107,5,IF(N(I109)&gt;=Indicators!$N$107,4,IF(N(I109)&gt;=Indicators!$M$107,3,IF(N(I109)&gt;=Indicators!$L$107,2,1)))),IF(N(I109)&lt;=Indicators!$O$107,5,IF(N(I109)&lt;=Indicators!$N$107,4,IF(N(I109)&lt;=Indicators!$M$107,3,IF(N(I109)&lt;=Indicators!$L$107,2,1)))))))</f>
        <v/>
      </c>
      <c r="K109" s="35"/>
      <c r="L109" s="37" t="str">
        <f>IF(Indicators!$D$107="C0","",IF(K109&lt;&gt;"",K109,IF(J109&lt;&gt;"",J109,"")))</f>
        <v/>
      </c>
      <c r="M109" s="35"/>
      <c r="N109" s="35"/>
      <c r="O109" s="37" t="str">
        <f t="shared" si="3"/>
        <v/>
      </c>
      <c r="P109" s="35"/>
      <c r="Q109" s="35"/>
      <c r="R109" s="35"/>
    </row>
  </sheetData>
  <autoFilter ref="B7:R109" xr:uid="{00000000-0009-0000-0000-000003000000}"/>
  <conditionalFormatting sqref="L8:L109">
    <cfRule type="cellIs" dxfId="2" priority="2" operator="equal">
      <formula>1</formula>
    </cfRule>
    <cfRule type="cellIs" dxfId="1" priority="3" operator="equal">
      <formula>5</formula>
    </cfRule>
  </conditionalFormatting>
  <conditionalFormatting sqref="O8:O109">
    <cfRule type="cellIs" dxfId="0" priority="4" operator="equal">
      <formula>"STALE"</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107"/>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5"/>
  <cols>
    <col min="1" max="1" width="3" customWidth="1"/>
    <col min="2" max="2" width="8" customWidth="1"/>
    <col min="3" max="3" width="50" customWidth="1"/>
    <col min="4" max="4" width="8" customWidth="1"/>
    <col min="5" max="5" width="26" customWidth="1"/>
    <col min="6" max="7" width="12" customWidth="1"/>
    <col min="8" max="8" width="22" customWidth="1"/>
    <col min="9" max="10" width="10" customWidth="1"/>
    <col min="11" max="11" width="12" customWidth="1"/>
    <col min="12" max="15" width="10" customWidth="1"/>
    <col min="16" max="16" width="20" customWidth="1"/>
  </cols>
  <sheetData>
    <row r="1" spans="2:16" ht="7.5" customHeight="1"/>
    <row r="2" spans="2:16" ht="27.75" customHeight="1">
      <c r="B2" s="3" t="s">
        <v>625</v>
      </c>
    </row>
    <row r="3" spans="2:16" ht="18" customHeight="1">
      <c r="B3" s="4" t="s">
        <v>626</v>
      </c>
    </row>
    <row r="5" spans="2:16" ht="36" customHeight="1">
      <c r="B5" s="11" t="s">
        <v>132</v>
      </c>
      <c r="C5" s="11" t="s">
        <v>133</v>
      </c>
      <c r="D5" s="11" t="s">
        <v>58</v>
      </c>
      <c r="E5" s="11" t="s">
        <v>627</v>
      </c>
      <c r="F5" s="11" t="s">
        <v>60</v>
      </c>
      <c r="G5" s="11" t="s">
        <v>144</v>
      </c>
      <c r="H5" s="11" t="s">
        <v>134</v>
      </c>
      <c r="I5" s="11" t="s">
        <v>628</v>
      </c>
      <c r="J5" s="11" t="s">
        <v>136</v>
      </c>
      <c r="K5" s="11" t="s">
        <v>629</v>
      </c>
      <c r="L5" s="11" t="s">
        <v>630</v>
      </c>
      <c r="M5" s="11" t="s">
        <v>631</v>
      </c>
      <c r="N5" s="11" t="s">
        <v>632</v>
      </c>
      <c r="O5" s="11" t="s">
        <v>633</v>
      </c>
      <c r="P5" s="11" t="s">
        <v>634</v>
      </c>
    </row>
    <row r="6" spans="2:16" ht="15" customHeight="1">
      <c r="B6" s="35" t="s">
        <v>147</v>
      </c>
      <c r="C6" s="36" t="s">
        <v>148</v>
      </c>
      <c r="D6" s="35" t="s">
        <v>67</v>
      </c>
      <c r="E6" s="35" t="s">
        <v>635</v>
      </c>
      <c r="F6" s="35" t="s">
        <v>69</v>
      </c>
      <c r="G6" s="35" t="s">
        <v>636</v>
      </c>
      <c r="H6" s="35" t="s">
        <v>149</v>
      </c>
      <c r="I6" s="35" t="s">
        <v>150</v>
      </c>
      <c r="J6" s="35"/>
      <c r="K6" s="35">
        <v>3</v>
      </c>
      <c r="L6" s="35"/>
      <c r="M6" s="35"/>
      <c r="N6" s="35"/>
      <c r="O6" s="35"/>
      <c r="P6" s="35" t="s">
        <v>637</v>
      </c>
    </row>
    <row r="7" spans="2:16" ht="15" customHeight="1">
      <c r="B7" s="35" t="s">
        <v>155</v>
      </c>
      <c r="C7" s="36" t="s">
        <v>156</v>
      </c>
      <c r="D7" s="35" t="s">
        <v>67</v>
      </c>
      <c r="E7" s="35" t="s">
        <v>635</v>
      </c>
      <c r="F7" s="35" t="s">
        <v>69</v>
      </c>
      <c r="G7" s="35" t="s">
        <v>636</v>
      </c>
      <c r="H7" s="35" t="s">
        <v>149</v>
      </c>
      <c r="I7" s="35" t="s">
        <v>150</v>
      </c>
      <c r="J7" s="35"/>
      <c r="K7" s="35">
        <v>3</v>
      </c>
      <c r="L7" s="35"/>
      <c r="M7" s="35"/>
      <c r="N7" s="35"/>
      <c r="O7" s="35"/>
      <c r="P7" s="35" t="s">
        <v>637</v>
      </c>
    </row>
    <row r="8" spans="2:16" ht="15" customHeight="1">
      <c r="B8" s="35" t="s">
        <v>160</v>
      </c>
      <c r="C8" s="36" t="s">
        <v>161</v>
      </c>
      <c r="D8" s="35" t="s">
        <v>67</v>
      </c>
      <c r="E8" s="35" t="s">
        <v>635</v>
      </c>
      <c r="F8" s="35" t="s">
        <v>69</v>
      </c>
      <c r="G8" s="35" t="s">
        <v>636</v>
      </c>
      <c r="H8" s="35" t="s">
        <v>149</v>
      </c>
      <c r="I8" s="35" t="s">
        <v>150</v>
      </c>
      <c r="J8" s="35"/>
      <c r="K8" s="35">
        <v>3</v>
      </c>
      <c r="L8" s="35"/>
      <c r="M8" s="35"/>
      <c r="N8" s="35"/>
      <c r="O8" s="35"/>
      <c r="P8" s="35" t="s">
        <v>637</v>
      </c>
    </row>
    <row r="9" spans="2:16" ht="15" customHeight="1">
      <c r="B9" s="35" t="s">
        <v>166</v>
      </c>
      <c r="C9" s="36" t="s">
        <v>167</v>
      </c>
      <c r="D9" s="35" t="s">
        <v>67</v>
      </c>
      <c r="E9" s="35" t="s">
        <v>635</v>
      </c>
      <c r="F9" s="35" t="s">
        <v>69</v>
      </c>
      <c r="G9" s="35" t="s">
        <v>636</v>
      </c>
      <c r="H9" s="35" t="s">
        <v>149</v>
      </c>
      <c r="I9" s="35" t="s">
        <v>150</v>
      </c>
      <c r="J9" s="35"/>
      <c r="K9" s="35">
        <v>3</v>
      </c>
      <c r="L9" s="35"/>
      <c r="M9" s="35"/>
      <c r="N9" s="35"/>
      <c r="O9" s="35"/>
      <c r="P9" s="35" t="s">
        <v>637</v>
      </c>
    </row>
    <row r="10" spans="2:16" ht="15" customHeight="1">
      <c r="B10" s="35" t="s">
        <v>171</v>
      </c>
      <c r="C10" s="36" t="s">
        <v>172</v>
      </c>
      <c r="D10" s="35" t="s">
        <v>67</v>
      </c>
      <c r="E10" s="35" t="s">
        <v>635</v>
      </c>
      <c r="F10" s="35" t="s">
        <v>69</v>
      </c>
      <c r="G10" s="35" t="s">
        <v>638</v>
      </c>
      <c r="H10" s="35" t="s">
        <v>149</v>
      </c>
      <c r="I10" s="35" t="s">
        <v>150</v>
      </c>
      <c r="J10" s="35"/>
      <c r="K10" s="35">
        <v>2</v>
      </c>
      <c r="L10" s="35"/>
      <c r="M10" s="35"/>
      <c r="N10" s="35"/>
      <c r="O10" s="35"/>
      <c r="P10" s="35" t="s">
        <v>637</v>
      </c>
    </row>
    <row r="11" spans="2:16" ht="15" customHeight="1">
      <c r="B11" s="35" t="s">
        <v>177</v>
      </c>
      <c r="C11" s="36" t="s">
        <v>178</v>
      </c>
      <c r="D11" s="35" t="s">
        <v>67</v>
      </c>
      <c r="E11" s="35" t="s">
        <v>635</v>
      </c>
      <c r="F11" s="35" t="s">
        <v>69</v>
      </c>
      <c r="G11" s="35" t="s">
        <v>638</v>
      </c>
      <c r="H11" s="35" t="s">
        <v>149</v>
      </c>
      <c r="I11" s="35" t="s">
        <v>150</v>
      </c>
      <c r="J11" s="35"/>
      <c r="K11" s="35">
        <v>2</v>
      </c>
      <c r="L11" s="35"/>
      <c r="M11" s="35"/>
      <c r="N11" s="35"/>
      <c r="O11" s="35"/>
      <c r="P11" s="35" t="s">
        <v>637</v>
      </c>
    </row>
    <row r="12" spans="2:16" ht="15" customHeight="1">
      <c r="B12" s="35" t="s">
        <v>183</v>
      </c>
      <c r="C12" s="36" t="s">
        <v>184</v>
      </c>
      <c r="D12" s="35" t="s">
        <v>67</v>
      </c>
      <c r="E12" s="35" t="s">
        <v>635</v>
      </c>
      <c r="F12" s="35" t="s">
        <v>69</v>
      </c>
      <c r="G12" s="35" t="s">
        <v>638</v>
      </c>
      <c r="H12" s="35" t="s">
        <v>149</v>
      </c>
      <c r="I12" s="35" t="s">
        <v>150</v>
      </c>
      <c r="J12" s="35"/>
      <c r="K12" s="35">
        <v>2</v>
      </c>
      <c r="L12" s="35"/>
      <c r="M12" s="35"/>
      <c r="N12" s="35"/>
      <c r="O12" s="35"/>
      <c r="P12" s="35" t="s">
        <v>637</v>
      </c>
    </row>
    <row r="13" spans="2:16" ht="15" customHeight="1">
      <c r="B13" s="35" t="s">
        <v>189</v>
      </c>
      <c r="C13" s="36" t="s">
        <v>190</v>
      </c>
      <c r="D13" s="35" t="s">
        <v>67</v>
      </c>
      <c r="E13" s="35" t="s">
        <v>635</v>
      </c>
      <c r="F13" s="35" t="s">
        <v>69</v>
      </c>
      <c r="G13" s="35" t="s">
        <v>638</v>
      </c>
      <c r="H13" s="35" t="s">
        <v>149</v>
      </c>
      <c r="I13" s="35" t="s">
        <v>150</v>
      </c>
      <c r="J13" s="35"/>
      <c r="K13" s="35">
        <v>2</v>
      </c>
      <c r="L13" s="35"/>
      <c r="M13" s="35"/>
      <c r="N13" s="35"/>
      <c r="O13" s="35"/>
      <c r="P13" s="35" t="s">
        <v>637</v>
      </c>
    </row>
    <row r="14" spans="2:16" ht="27.75" customHeight="1">
      <c r="B14" s="35" t="s">
        <v>194</v>
      </c>
      <c r="C14" s="36" t="s">
        <v>195</v>
      </c>
      <c r="D14" s="35" t="s">
        <v>77</v>
      </c>
      <c r="E14" s="35" t="s">
        <v>639</v>
      </c>
      <c r="F14" s="35" t="s">
        <v>72</v>
      </c>
      <c r="G14" s="35" t="s">
        <v>638</v>
      </c>
      <c r="H14" s="35" t="s">
        <v>196</v>
      </c>
      <c r="I14" s="35" t="s">
        <v>150</v>
      </c>
      <c r="J14" s="35"/>
      <c r="K14" s="35">
        <v>2</v>
      </c>
      <c r="L14" s="35"/>
      <c r="M14" s="35"/>
      <c r="N14" s="35"/>
      <c r="O14" s="35"/>
      <c r="P14" s="35" t="s">
        <v>640</v>
      </c>
    </row>
    <row r="15" spans="2:16" ht="15" customHeight="1">
      <c r="B15" s="39" t="s">
        <v>200</v>
      </c>
      <c r="C15" s="40" t="s">
        <v>201</v>
      </c>
      <c r="D15" s="39" t="s">
        <v>70</v>
      </c>
      <c r="E15" s="39" t="s">
        <v>641</v>
      </c>
      <c r="F15" s="39" t="s">
        <v>72</v>
      </c>
      <c r="G15" s="39" t="s">
        <v>636</v>
      </c>
      <c r="H15" s="39" t="s">
        <v>202</v>
      </c>
      <c r="I15" s="39" t="s">
        <v>203</v>
      </c>
      <c r="J15" s="39" t="s">
        <v>204</v>
      </c>
      <c r="K15" s="39">
        <v>3</v>
      </c>
      <c r="L15" s="39">
        <v>20</v>
      </c>
      <c r="M15" s="39">
        <v>40</v>
      </c>
      <c r="N15" s="39">
        <v>60</v>
      </c>
      <c r="O15" s="39">
        <v>80</v>
      </c>
      <c r="P15" s="39" t="s">
        <v>642</v>
      </c>
    </row>
    <row r="16" spans="2:16" ht="15" customHeight="1">
      <c r="B16" s="35" t="s">
        <v>208</v>
      </c>
      <c r="C16" s="36" t="s">
        <v>209</v>
      </c>
      <c r="D16" s="35" t="s">
        <v>70</v>
      </c>
      <c r="E16" s="35" t="s">
        <v>641</v>
      </c>
      <c r="F16" s="35" t="s">
        <v>72</v>
      </c>
      <c r="G16" s="35" t="s">
        <v>636</v>
      </c>
      <c r="H16" s="35" t="s">
        <v>202</v>
      </c>
      <c r="I16" s="35" t="s">
        <v>203</v>
      </c>
      <c r="J16" s="35"/>
      <c r="K16" s="35">
        <v>3</v>
      </c>
      <c r="L16" s="35">
        <v>20</v>
      </c>
      <c r="M16" s="35">
        <v>40</v>
      </c>
      <c r="N16" s="35">
        <v>60</v>
      </c>
      <c r="O16" s="35">
        <v>80</v>
      </c>
      <c r="P16" s="35" t="s">
        <v>642</v>
      </c>
    </row>
    <row r="17" spans="2:16" ht="27.75" customHeight="1">
      <c r="B17" s="35" t="s">
        <v>211</v>
      </c>
      <c r="C17" s="36" t="s">
        <v>212</v>
      </c>
      <c r="D17" s="35" t="s">
        <v>70</v>
      </c>
      <c r="E17" s="35" t="s">
        <v>641</v>
      </c>
      <c r="F17" s="35" t="s">
        <v>72</v>
      </c>
      <c r="G17" s="35" t="s">
        <v>636</v>
      </c>
      <c r="H17" s="35" t="s">
        <v>202</v>
      </c>
      <c r="I17" s="35" t="s">
        <v>203</v>
      </c>
      <c r="J17" s="35"/>
      <c r="K17" s="35">
        <v>3</v>
      </c>
      <c r="L17" s="35">
        <v>20</v>
      </c>
      <c r="M17" s="35">
        <v>40</v>
      </c>
      <c r="N17" s="35">
        <v>70</v>
      </c>
      <c r="O17" s="35">
        <v>100</v>
      </c>
      <c r="P17" s="35" t="s">
        <v>642</v>
      </c>
    </row>
    <row r="18" spans="2:16" ht="15" customHeight="1">
      <c r="B18" s="35" t="s">
        <v>214</v>
      </c>
      <c r="C18" s="36" t="s">
        <v>215</v>
      </c>
      <c r="D18" s="35" t="s">
        <v>70</v>
      </c>
      <c r="E18" s="35" t="s">
        <v>641</v>
      </c>
      <c r="F18" s="35" t="s">
        <v>72</v>
      </c>
      <c r="G18" s="35" t="s">
        <v>636</v>
      </c>
      <c r="H18" s="35" t="s">
        <v>202</v>
      </c>
      <c r="I18" s="35" t="s">
        <v>203</v>
      </c>
      <c r="J18" s="35"/>
      <c r="K18" s="35">
        <v>3</v>
      </c>
      <c r="L18" s="35">
        <v>20</v>
      </c>
      <c r="M18" s="35">
        <v>40</v>
      </c>
      <c r="N18" s="35">
        <v>60</v>
      </c>
      <c r="O18" s="35">
        <v>80</v>
      </c>
      <c r="P18" s="35" t="s">
        <v>642</v>
      </c>
    </row>
    <row r="19" spans="2:16" ht="15" customHeight="1">
      <c r="B19" s="39" t="s">
        <v>219</v>
      </c>
      <c r="C19" s="40" t="s">
        <v>220</v>
      </c>
      <c r="D19" s="39" t="s">
        <v>70</v>
      </c>
      <c r="E19" s="39" t="s">
        <v>641</v>
      </c>
      <c r="F19" s="39" t="s">
        <v>72</v>
      </c>
      <c r="G19" s="39" t="s">
        <v>636</v>
      </c>
      <c r="H19" s="39" t="s">
        <v>202</v>
      </c>
      <c r="I19" s="39" t="s">
        <v>221</v>
      </c>
      <c r="J19" s="39" t="s">
        <v>204</v>
      </c>
      <c r="K19" s="39">
        <v>3</v>
      </c>
      <c r="L19" s="39">
        <v>10</v>
      </c>
      <c r="M19" s="39">
        <v>5</v>
      </c>
      <c r="N19" s="39">
        <v>2</v>
      </c>
      <c r="O19" s="39">
        <v>1</v>
      </c>
      <c r="P19" s="39" t="s">
        <v>642</v>
      </c>
    </row>
    <row r="20" spans="2:16" ht="15" customHeight="1">
      <c r="B20" s="35" t="s">
        <v>225</v>
      </c>
      <c r="C20" s="36" t="s">
        <v>226</v>
      </c>
      <c r="D20" s="35" t="s">
        <v>70</v>
      </c>
      <c r="E20" s="35" t="s">
        <v>641</v>
      </c>
      <c r="F20" s="35" t="s">
        <v>72</v>
      </c>
      <c r="G20" s="35" t="s">
        <v>636</v>
      </c>
      <c r="H20" s="35" t="s">
        <v>202</v>
      </c>
      <c r="I20" s="35" t="s">
        <v>203</v>
      </c>
      <c r="J20" s="35"/>
      <c r="K20" s="35">
        <v>3</v>
      </c>
      <c r="L20" s="35">
        <v>20</v>
      </c>
      <c r="M20" s="35">
        <v>40</v>
      </c>
      <c r="N20" s="35">
        <v>60</v>
      </c>
      <c r="O20" s="35">
        <v>80</v>
      </c>
      <c r="P20" s="35" t="s">
        <v>642</v>
      </c>
    </row>
    <row r="21" spans="2:16" ht="27.75" customHeight="1">
      <c r="B21" s="35" t="s">
        <v>230</v>
      </c>
      <c r="C21" s="36" t="s">
        <v>231</v>
      </c>
      <c r="D21" s="35" t="s">
        <v>70</v>
      </c>
      <c r="E21" s="35" t="s">
        <v>641</v>
      </c>
      <c r="F21" s="35" t="s">
        <v>72</v>
      </c>
      <c r="G21" s="35" t="s">
        <v>638</v>
      </c>
      <c r="H21" s="35" t="s">
        <v>202</v>
      </c>
      <c r="I21" s="35" t="s">
        <v>203</v>
      </c>
      <c r="J21" s="35"/>
      <c r="K21" s="35">
        <v>2</v>
      </c>
      <c r="L21" s="35">
        <v>20</v>
      </c>
      <c r="M21" s="35">
        <v>40</v>
      </c>
      <c r="N21" s="35">
        <v>60</v>
      </c>
      <c r="O21" s="35">
        <v>80</v>
      </c>
      <c r="P21" s="35" t="s">
        <v>642</v>
      </c>
    </row>
    <row r="22" spans="2:16" ht="15" customHeight="1">
      <c r="B22" s="35" t="s">
        <v>235</v>
      </c>
      <c r="C22" s="36" t="s">
        <v>236</v>
      </c>
      <c r="D22" s="35" t="s">
        <v>70</v>
      </c>
      <c r="E22" s="35" t="s">
        <v>641</v>
      </c>
      <c r="F22" s="35" t="s">
        <v>72</v>
      </c>
      <c r="G22" s="35" t="s">
        <v>638</v>
      </c>
      <c r="H22" s="35" t="s">
        <v>202</v>
      </c>
      <c r="I22" s="35" t="s">
        <v>221</v>
      </c>
      <c r="J22" s="35"/>
      <c r="K22" s="35">
        <v>2</v>
      </c>
      <c r="L22" s="35">
        <v>10</v>
      </c>
      <c r="M22" s="35">
        <v>5</v>
      </c>
      <c r="N22" s="35">
        <v>2</v>
      </c>
      <c r="O22" s="35">
        <v>1</v>
      </c>
      <c r="P22" s="35" t="s">
        <v>642</v>
      </c>
    </row>
    <row r="23" spans="2:16" ht="15" customHeight="1">
      <c r="B23" s="39" t="s">
        <v>239</v>
      </c>
      <c r="C23" s="40" t="s">
        <v>240</v>
      </c>
      <c r="D23" s="39" t="s">
        <v>70</v>
      </c>
      <c r="E23" s="39" t="s">
        <v>641</v>
      </c>
      <c r="F23" s="39" t="s">
        <v>72</v>
      </c>
      <c r="G23" s="39" t="s">
        <v>638</v>
      </c>
      <c r="H23" s="39" t="s">
        <v>202</v>
      </c>
      <c r="I23" s="39" t="s">
        <v>203</v>
      </c>
      <c r="J23" s="39" t="s">
        <v>204</v>
      </c>
      <c r="K23" s="39">
        <v>2</v>
      </c>
      <c r="L23" s="39">
        <v>20</v>
      </c>
      <c r="M23" s="39">
        <v>40</v>
      </c>
      <c r="N23" s="39">
        <v>60</v>
      </c>
      <c r="O23" s="39">
        <v>80</v>
      </c>
      <c r="P23" s="39" t="s">
        <v>642</v>
      </c>
    </row>
    <row r="24" spans="2:16" ht="15" customHeight="1">
      <c r="B24" s="35" t="s">
        <v>244</v>
      </c>
      <c r="C24" s="36" t="s">
        <v>245</v>
      </c>
      <c r="D24" s="35" t="s">
        <v>70</v>
      </c>
      <c r="E24" s="35" t="s">
        <v>641</v>
      </c>
      <c r="F24" s="35" t="s">
        <v>72</v>
      </c>
      <c r="G24" s="35" t="s">
        <v>638</v>
      </c>
      <c r="H24" s="35" t="s">
        <v>202</v>
      </c>
      <c r="I24" s="35" t="s">
        <v>203</v>
      </c>
      <c r="J24" s="35"/>
      <c r="K24" s="35">
        <v>2</v>
      </c>
      <c r="L24" s="35">
        <v>2</v>
      </c>
      <c r="M24" s="35">
        <v>5</v>
      </c>
      <c r="N24" s="35">
        <v>10</v>
      </c>
      <c r="O24" s="35">
        <v>25</v>
      </c>
      <c r="P24" s="35" t="s">
        <v>642</v>
      </c>
    </row>
    <row r="25" spans="2:16" ht="15" customHeight="1">
      <c r="B25" s="35" t="s">
        <v>249</v>
      </c>
      <c r="C25" s="36" t="s">
        <v>250</v>
      </c>
      <c r="D25" s="35" t="s">
        <v>70</v>
      </c>
      <c r="E25" s="35" t="s">
        <v>641</v>
      </c>
      <c r="F25" s="35" t="s">
        <v>72</v>
      </c>
      <c r="G25" s="35" t="s">
        <v>638</v>
      </c>
      <c r="H25" s="35" t="s">
        <v>196</v>
      </c>
      <c r="I25" s="35" t="s">
        <v>150</v>
      </c>
      <c r="J25" s="35"/>
      <c r="K25" s="35">
        <v>2</v>
      </c>
      <c r="L25" s="35"/>
      <c r="M25" s="35"/>
      <c r="N25" s="35"/>
      <c r="O25" s="35"/>
      <c r="P25" s="35" t="s">
        <v>640</v>
      </c>
    </row>
    <row r="26" spans="2:16" ht="15" customHeight="1">
      <c r="B26" s="35" t="s">
        <v>253</v>
      </c>
      <c r="C26" s="36" t="s">
        <v>254</v>
      </c>
      <c r="D26" s="35" t="s">
        <v>73</v>
      </c>
      <c r="E26" s="35" t="s">
        <v>643</v>
      </c>
      <c r="F26" s="35" t="s">
        <v>72</v>
      </c>
      <c r="G26" s="35" t="s">
        <v>636</v>
      </c>
      <c r="H26" s="35" t="s">
        <v>202</v>
      </c>
      <c r="I26" s="35" t="s">
        <v>203</v>
      </c>
      <c r="J26" s="35"/>
      <c r="K26" s="35">
        <v>3</v>
      </c>
      <c r="L26" s="35">
        <v>0.2</v>
      </c>
      <c r="M26" s="35">
        <v>0.4</v>
      </c>
      <c r="N26" s="35">
        <v>0.6</v>
      </c>
      <c r="O26" s="35">
        <v>0.8</v>
      </c>
      <c r="P26" s="35" t="s">
        <v>642</v>
      </c>
    </row>
    <row r="27" spans="2:16" ht="15" customHeight="1">
      <c r="B27" s="35" t="s">
        <v>258</v>
      </c>
      <c r="C27" s="36" t="s">
        <v>259</v>
      </c>
      <c r="D27" s="35" t="s">
        <v>73</v>
      </c>
      <c r="E27" s="35" t="s">
        <v>643</v>
      </c>
      <c r="F27" s="35" t="s">
        <v>72</v>
      </c>
      <c r="G27" s="35" t="s">
        <v>636</v>
      </c>
      <c r="H27" s="35" t="s">
        <v>202</v>
      </c>
      <c r="I27" s="35" t="s">
        <v>203</v>
      </c>
      <c r="J27" s="35"/>
      <c r="K27" s="35">
        <v>3</v>
      </c>
      <c r="L27" s="35">
        <v>20</v>
      </c>
      <c r="M27" s="35">
        <v>40</v>
      </c>
      <c r="N27" s="35">
        <v>60</v>
      </c>
      <c r="O27" s="35">
        <v>80</v>
      </c>
      <c r="P27" s="35" t="s">
        <v>642</v>
      </c>
    </row>
    <row r="28" spans="2:16" ht="15" customHeight="1">
      <c r="B28" s="39" t="s">
        <v>263</v>
      </c>
      <c r="C28" s="40" t="s">
        <v>264</v>
      </c>
      <c r="D28" s="39" t="s">
        <v>73</v>
      </c>
      <c r="E28" s="39" t="s">
        <v>643</v>
      </c>
      <c r="F28" s="39" t="s">
        <v>72</v>
      </c>
      <c r="G28" s="39" t="s">
        <v>638</v>
      </c>
      <c r="H28" s="39" t="s">
        <v>196</v>
      </c>
      <c r="I28" s="39" t="s">
        <v>150</v>
      </c>
      <c r="J28" s="39" t="s">
        <v>204</v>
      </c>
      <c r="K28" s="39">
        <v>2</v>
      </c>
      <c r="L28" s="39"/>
      <c r="M28" s="39"/>
      <c r="N28" s="39"/>
      <c r="O28" s="39"/>
      <c r="P28" s="39" t="s">
        <v>640</v>
      </c>
    </row>
    <row r="29" spans="2:16" ht="15" customHeight="1">
      <c r="B29" s="35" t="s">
        <v>268</v>
      </c>
      <c r="C29" s="36" t="s">
        <v>269</v>
      </c>
      <c r="D29" s="35" t="s">
        <v>73</v>
      </c>
      <c r="E29" s="35" t="s">
        <v>643</v>
      </c>
      <c r="F29" s="35" t="s">
        <v>72</v>
      </c>
      <c r="G29" s="35" t="s">
        <v>638</v>
      </c>
      <c r="H29" s="35" t="s">
        <v>196</v>
      </c>
      <c r="I29" s="35" t="s">
        <v>150</v>
      </c>
      <c r="J29" s="35"/>
      <c r="K29" s="35">
        <v>2</v>
      </c>
      <c r="L29" s="35"/>
      <c r="M29" s="35"/>
      <c r="N29" s="35"/>
      <c r="O29" s="35"/>
      <c r="P29" s="35" t="s">
        <v>640</v>
      </c>
    </row>
    <row r="30" spans="2:16" ht="15" customHeight="1">
      <c r="B30" s="35" t="s">
        <v>273</v>
      </c>
      <c r="C30" s="36" t="s">
        <v>274</v>
      </c>
      <c r="D30" s="35" t="s">
        <v>73</v>
      </c>
      <c r="E30" s="35" t="s">
        <v>643</v>
      </c>
      <c r="F30" s="35" t="s">
        <v>72</v>
      </c>
      <c r="G30" s="35" t="s">
        <v>638</v>
      </c>
      <c r="H30" s="35" t="s">
        <v>196</v>
      </c>
      <c r="I30" s="35" t="s">
        <v>150</v>
      </c>
      <c r="J30" s="35"/>
      <c r="K30" s="35">
        <v>2</v>
      </c>
      <c r="L30" s="35"/>
      <c r="M30" s="35"/>
      <c r="N30" s="35"/>
      <c r="O30" s="35"/>
      <c r="P30" s="35" t="s">
        <v>640</v>
      </c>
    </row>
    <row r="31" spans="2:16" ht="15" customHeight="1">
      <c r="B31" s="35" t="s">
        <v>277</v>
      </c>
      <c r="C31" s="36" t="s">
        <v>278</v>
      </c>
      <c r="D31" s="35" t="s">
        <v>73</v>
      </c>
      <c r="E31" s="35" t="s">
        <v>643</v>
      </c>
      <c r="F31" s="35" t="s">
        <v>72</v>
      </c>
      <c r="G31" s="35" t="s">
        <v>638</v>
      </c>
      <c r="H31" s="35" t="s">
        <v>196</v>
      </c>
      <c r="I31" s="35" t="s">
        <v>150</v>
      </c>
      <c r="J31" s="35"/>
      <c r="K31" s="35">
        <v>2</v>
      </c>
      <c r="L31" s="35"/>
      <c r="M31" s="35"/>
      <c r="N31" s="35"/>
      <c r="O31" s="35"/>
      <c r="P31" s="35" t="s">
        <v>640</v>
      </c>
    </row>
    <row r="32" spans="2:16" ht="15" customHeight="1">
      <c r="B32" s="35" t="s">
        <v>282</v>
      </c>
      <c r="C32" s="36" t="s">
        <v>283</v>
      </c>
      <c r="D32" s="35" t="s">
        <v>73</v>
      </c>
      <c r="E32" s="35" t="s">
        <v>643</v>
      </c>
      <c r="F32" s="35" t="s">
        <v>72</v>
      </c>
      <c r="G32" s="35" t="s">
        <v>638</v>
      </c>
      <c r="H32" s="35" t="s">
        <v>196</v>
      </c>
      <c r="I32" s="35" t="s">
        <v>150</v>
      </c>
      <c r="J32" s="35"/>
      <c r="K32" s="35">
        <v>2</v>
      </c>
      <c r="L32" s="35"/>
      <c r="M32" s="35"/>
      <c r="N32" s="35"/>
      <c r="O32" s="35"/>
      <c r="P32" s="35" t="s">
        <v>640</v>
      </c>
    </row>
    <row r="33" spans="2:16" ht="15" customHeight="1">
      <c r="B33" s="35" t="s">
        <v>286</v>
      </c>
      <c r="C33" s="36" t="s">
        <v>287</v>
      </c>
      <c r="D33" s="35" t="s">
        <v>73</v>
      </c>
      <c r="E33" s="35" t="s">
        <v>643</v>
      </c>
      <c r="F33" s="35" t="s">
        <v>72</v>
      </c>
      <c r="G33" s="35" t="s">
        <v>638</v>
      </c>
      <c r="H33" s="35" t="s">
        <v>196</v>
      </c>
      <c r="I33" s="35" t="s">
        <v>150</v>
      </c>
      <c r="J33" s="35"/>
      <c r="K33" s="35">
        <v>2</v>
      </c>
      <c r="L33" s="35"/>
      <c r="M33" s="35"/>
      <c r="N33" s="35"/>
      <c r="O33" s="35"/>
      <c r="P33" s="35" t="s">
        <v>640</v>
      </c>
    </row>
    <row r="34" spans="2:16" ht="15" customHeight="1">
      <c r="B34" s="35" t="s">
        <v>289</v>
      </c>
      <c r="C34" s="36" t="s">
        <v>290</v>
      </c>
      <c r="D34" s="35" t="s">
        <v>73</v>
      </c>
      <c r="E34" s="35" t="s">
        <v>643</v>
      </c>
      <c r="F34" s="35" t="s">
        <v>72</v>
      </c>
      <c r="G34" s="35" t="s">
        <v>638</v>
      </c>
      <c r="H34" s="35" t="s">
        <v>202</v>
      </c>
      <c r="I34" s="35" t="s">
        <v>203</v>
      </c>
      <c r="J34" s="35"/>
      <c r="K34" s="35">
        <v>2</v>
      </c>
      <c r="L34" s="35">
        <v>20</v>
      </c>
      <c r="M34" s="35">
        <v>40</v>
      </c>
      <c r="N34" s="35">
        <v>60</v>
      </c>
      <c r="O34" s="35">
        <v>80</v>
      </c>
      <c r="P34" s="35" t="s">
        <v>642</v>
      </c>
    </row>
    <row r="35" spans="2:16" ht="27.75" customHeight="1">
      <c r="B35" s="35" t="s">
        <v>295</v>
      </c>
      <c r="C35" s="36" t="s">
        <v>296</v>
      </c>
      <c r="D35" s="35" t="s">
        <v>73</v>
      </c>
      <c r="E35" s="35" t="s">
        <v>643</v>
      </c>
      <c r="F35" s="35" t="s">
        <v>72</v>
      </c>
      <c r="G35" s="35" t="s">
        <v>638</v>
      </c>
      <c r="H35" s="35" t="s">
        <v>196</v>
      </c>
      <c r="I35" s="35" t="s">
        <v>150</v>
      </c>
      <c r="J35" s="35"/>
      <c r="K35" s="35">
        <v>2</v>
      </c>
      <c r="L35" s="35"/>
      <c r="M35" s="35"/>
      <c r="N35" s="35"/>
      <c r="O35" s="35"/>
      <c r="P35" s="35" t="s">
        <v>640</v>
      </c>
    </row>
    <row r="36" spans="2:16" ht="15" customHeight="1">
      <c r="B36" s="39" t="s">
        <v>300</v>
      </c>
      <c r="C36" s="40" t="s">
        <v>301</v>
      </c>
      <c r="D36" s="39" t="s">
        <v>73</v>
      </c>
      <c r="E36" s="39" t="s">
        <v>643</v>
      </c>
      <c r="F36" s="39" t="s">
        <v>72</v>
      </c>
      <c r="G36" s="39" t="s">
        <v>638</v>
      </c>
      <c r="H36" s="39" t="s">
        <v>196</v>
      </c>
      <c r="I36" s="39" t="s">
        <v>150</v>
      </c>
      <c r="J36" s="39" t="s">
        <v>204</v>
      </c>
      <c r="K36" s="39">
        <v>2</v>
      </c>
      <c r="L36" s="39"/>
      <c r="M36" s="39"/>
      <c r="N36" s="39"/>
      <c r="O36" s="39"/>
      <c r="P36" s="39" t="s">
        <v>640</v>
      </c>
    </row>
    <row r="37" spans="2:16" ht="15" customHeight="1">
      <c r="B37" s="35" t="s">
        <v>303</v>
      </c>
      <c r="C37" s="36" t="s">
        <v>304</v>
      </c>
      <c r="D37" s="35" t="s">
        <v>73</v>
      </c>
      <c r="E37" s="35" t="s">
        <v>643</v>
      </c>
      <c r="F37" s="35" t="s">
        <v>72</v>
      </c>
      <c r="G37" s="35" t="s">
        <v>638</v>
      </c>
      <c r="H37" s="35" t="s">
        <v>196</v>
      </c>
      <c r="I37" s="35" t="s">
        <v>150</v>
      </c>
      <c r="J37" s="35"/>
      <c r="K37" s="35">
        <v>2</v>
      </c>
      <c r="L37" s="35"/>
      <c r="M37" s="35"/>
      <c r="N37" s="35"/>
      <c r="O37" s="35"/>
      <c r="P37" s="35" t="s">
        <v>640</v>
      </c>
    </row>
    <row r="38" spans="2:16" ht="27.75" customHeight="1">
      <c r="B38" s="35" t="s">
        <v>307</v>
      </c>
      <c r="C38" s="36" t="s">
        <v>308</v>
      </c>
      <c r="D38" s="35" t="s">
        <v>73</v>
      </c>
      <c r="E38" s="35" t="s">
        <v>643</v>
      </c>
      <c r="F38" s="35" t="s">
        <v>72</v>
      </c>
      <c r="G38" s="35" t="s">
        <v>638</v>
      </c>
      <c r="H38" s="35" t="s">
        <v>202</v>
      </c>
      <c r="I38" s="35" t="s">
        <v>203</v>
      </c>
      <c r="J38" s="35"/>
      <c r="K38" s="35">
        <v>2</v>
      </c>
      <c r="L38" s="35">
        <v>20</v>
      </c>
      <c r="M38" s="35">
        <v>40</v>
      </c>
      <c r="N38" s="35">
        <v>60</v>
      </c>
      <c r="O38" s="35">
        <v>80</v>
      </c>
      <c r="P38" s="35" t="s">
        <v>642</v>
      </c>
    </row>
    <row r="39" spans="2:16" ht="15" customHeight="1">
      <c r="B39" s="39" t="s">
        <v>311</v>
      </c>
      <c r="C39" s="40" t="s">
        <v>312</v>
      </c>
      <c r="D39" s="39" t="s">
        <v>75</v>
      </c>
      <c r="E39" s="39" t="s">
        <v>644</v>
      </c>
      <c r="F39" s="39" t="s">
        <v>72</v>
      </c>
      <c r="G39" s="39" t="s">
        <v>636</v>
      </c>
      <c r="H39" s="39" t="s">
        <v>196</v>
      </c>
      <c r="I39" s="39" t="s">
        <v>150</v>
      </c>
      <c r="J39" s="39" t="s">
        <v>204</v>
      </c>
      <c r="K39" s="39">
        <v>3</v>
      </c>
      <c r="L39" s="39"/>
      <c r="M39" s="39"/>
      <c r="N39" s="39"/>
      <c r="O39" s="39"/>
      <c r="P39" s="39" t="s">
        <v>640</v>
      </c>
    </row>
    <row r="40" spans="2:16" ht="15" customHeight="1">
      <c r="B40" s="39" t="s">
        <v>316</v>
      </c>
      <c r="C40" s="40" t="s">
        <v>317</v>
      </c>
      <c r="D40" s="39" t="s">
        <v>75</v>
      </c>
      <c r="E40" s="39" t="s">
        <v>644</v>
      </c>
      <c r="F40" s="39" t="s">
        <v>72</v>
      </c>
      <c r="G40" s="39" t="s">
        <v>636</v>
      </c>
      <c r="H40" s="39" t="s">
        <v>202</v>
      </c>
      <c r="I40" s="39" t="s">
        <v>203</v>
      </c>
      <c r="J40" s="39" t="s">
        <v>204</v>
      </c>
      <c r="K40" s="39">
        <v>3</v>
      </c>
      <c r="L40" s="39">
        <v>0.2</v>
      </c>
      <c r="M40" s="39">
        <v>0.4</v>
      </c>
      <c r="N40" s="39">
        <v>0.6</v>
      </c>
      <c r="O40" s="39">
        <v>0.8</v>
      </c>
      <c r="P40" s="39" t="s">
        <v>642</v>
      </c>
    </row>
    <row r="41" spans="2:16" ht="15" customHeight="1">
      <c r="B41" s="35" t="s">
        <v>321</v>
      </c>
      <c r="C41" s="36" t="s">
        <v>322</v>
      </c>
      <c r="D41" s="35" t="s">
        <v>75</v>
      </c>
      <c r="E41" s="35" t="s">
        <v>644</v>
      </c>
      <c r="F41" s="35" t="s">
        <v>72</v>
      </c>
      <c r="G41" s="35" t="s">
        <v>636</v>
      </c>
      <c r="H41" s="35" t="s">
        <v>202</v>
      </c>
      <c r="I41" s="35" t="s">
        <v>203</v>
      </c>
      <c r="J41" s="35"/>
      <c r="K41" s="35">
        <v>3</v>
      </c>
      <c r="L41" s="35">
        <v>20</v>
      </c>
      <c r="M41" s="35">
        <v>40</v>
      </c>
      <c r="N41" s="35">
        <v>60</v>
      </c>
      <c r="O41" s="35">
        <v>80</v>
      </c>
      <c r="P41" s="35" t="s">
        <v>642</v>
      </c>
    </row>
    <row r="42" spans="2:16" ht="15" customHeight="1">
      <c r="B42" s="35" t="s">
        <v>326</v>
      </c>
      <c r="C42" s="36" t="s">
        <v>327</v>
      </c>
      <c r="D42" s="35" t="s">
        <v>75</v>
      </c>
      <c r="E42" s="35" t="s">
        <v>644</v>
      </c>
      <c r="F42" s="35" t="s">
        <v>72</v>
      </c>
      <c r="G42" s="35" t="s">
        <v>638</v>
      </c>
      <c r="H42" s="35" t="s">
        <v>196</v>
      </c>
      <c r="I42" s="35" t="s">
        <v>150</v>
      </c>
      <c r="J42" s="35"/>
      <c r="K42" s="35">
        <v>2</v>
      </c>
      <c r="L42" s="35"/>
      <c r="M42" s="35"/>
      <c r="N42" s="35"/>
      <c r="O42" s="35"/>
      <c r="P42" s="35" t="s">
        <v>640</v>
      </c>
    </row>
    <row r="43" spans="2:16" ht="15" customHeight="1">
      <c r="B43" s="39" t="s">
        <v>330</v>
      </c>
      <c r="C43" s="40" t="s">
        <v>331</v>
      </c>
      <c r="D43" s="39" t="s">
        <v>75</v>
      </c>
      <c r="E43" s="39" t="s">
        <v>644</v>
      </c>
      <c r="F43" s="39" t="s">
        <v>72</v>
      </c>
      <c r="G43" s="39" t="s">
        <v>638</v>
      </c>
      <c r="H43" s="39" t="s">
        <v>196</v>
      </c>
      <c r="I43" s="39" t="s">
        <v>150</v>
      </c>
      <c r="J43" s="39" t="s">
        <v>204</v>
      </c>
      <c r="K43" s="39">
        <v>2</v>
      </c>
      <c r="L43" s="39"/>
      <c r="M43" s="39"/>
      <c r="N43" s="39"/>
      <c r="O43" s="39"/>
      <c r="P43" s="39" t="s">
        <v>640</v>
      </c>
    </row>
    <row r="44" spans="2:16" ht="15" customHeight="1">
      <c r="B44" s="35" t="s">
        <v>333</v>
      </c>
      <c r="C44" s="36" t="s">
        <v>334</v>
      </c>
      <c r="D44" s="35" t="s">
        <v>75</v>
      </c>
      <c r="E44" s="35" t="s">
        <v>644</v>
      </c>
      <c r="F44" s="35" t="s">
        <v>72</v>
      </c>
      <c r="G44" s="35" t="s">
        <v>638</v>
      </c>
      <c r="H44" s="35" t="s">
        <v>196</v>
      </c>
      <c r="I44" s="35" t="s">
        <v>150</v>
      </c>
      <c r="J44" s="35"/>
      <c r="K44" s="35">
        <v>2</v>
      </c>
      <c r="L44" s="35"/>
      <c r="M44" s="35"/>
      <c r="N44" s="35"/>
      <c r="O44" s="35"/>
      <c r="P44" s="35" t="s">
        <v>640</v>
      </c>
    </row>
    <row r="45" spans="2:16" ht="15" customHeight="1">
      <c r="B45" s="35" t="s">
        <v>338</v>
      </c>
      <c r="C45" s="36" t="s">
        <v>339</v>
      </c>
      <c r="D45" s="35" t="s">
        <v>75</v>
      </c>
      <c r="E45" s="35" t="s">
        <v>644</v>
      </c>
      <c r="F45" s="35" t="s">
        <v>72</v>
      </c>
      <c r="G45" s="35" t="s">
        <v>638</v>
      </c>
      <c r="H45" s="35" t="s">
        <v>202</v>
      </c>
      <c r="I45" s="35" t="s">
        <v>203</v>
      </c>
      <c r="J45" s="35"/>
      <c r="K45" s="35">
        <v>2</v>
      </c>
      <c r="L45" s="35">
        <v>20</v>
      </c>
      <c r="M45" s="35">
        <v>40</v>
      </c>
      <c r="N45" s="35">
        <v>60</v>
      </c>
      <c r="O45" s="35">
        <v>80</v>
      </c>
      <c r="P45" s="35" t="s">
        <v>642</v>
      </c>
    </row>
    <row r="46" spans="2:16" ht="15" customHeight="1">
      <c r="B46" s="35" t="s">
        <v>343</v>
      </c>
      <c r="C46" s="36" t="s">
        <v>344</v>
      </c>
      <c r="D46" s="35" t="s">
        <v>75</v>
      </c>
      <c r="E46" s="35" t="s">
        <v>644</v>
      </c>
      <c r="F46" s="35" t="s">
        <v>72</v>
      </c>
      <c r="G46" s="35" t="s">
        <v>638</v>
      </c>
      <c r="H46" s="35" t="s">
        <v>196</v>
      </c>
      <c r="I46" s="35" t="s">
        <v>150</v>
      </c>
      <c r="J46" s="35"/>
      <c r="K46" s="35">
        <v>2</v>
      </c>
      <c r="L46" s="35"/>
      <c r="M46" s="35"/>
      <c r="N46" s="35"/>
      <c r="O46" s="35"/>
      <c r="P46" s="35" t="s">
        <v>640</v>
      </c>
    </row>
    <row r="47" spans="2:16" ht="27.75" customHeight="1">
      <c r="B47" s="39" t="s">
        <v>347</v>
      </c>
      <c r="C47" s="40" t="s">
        <v>348</v>
      </c>
      <c r="D47" s="39" t="s">
        <v>75</v>
      </c>
      <c r="E47" s="39" t="s">
        <v>644</v>
      </c>
      <c r="F47" s="39" t="s">
        <v>72</v>
      </c>
      <c r="G47" s="39" t="s">
        <v>638</v>
      </c>
      <c r="H47" s="39" t="s">
        <v>196</v>
      </c>
      <c r="I47" s="39" t="s">
        <v>150</v>
      </c>
      <c r="J47" s="39" t="s">
        <v>204</v>
      </c>
      <c r="K47" s="39">
        <v>2</v>
      </c>
      <c r="L47" s="39"/>
      <c r="M47" s="39"/>
      <c r="N47" s="39"/>
      <c r="O47" s="39"/>
      <c r="P47" s="39" t="s">
        <v>640</v>
      </c>
    </row>
    <row r="48" spans="2:16" ht="27.75" customHeight="1">
      <c r="B48" s="35" t="s">
        <v>351</v>
      </c>
      <c r="C48" s="36" t="s">
        <v>352</v>
      </c>
      <c r="D48" s="35" t="s">
        <v>75</v>
      </c>
      <c r="E48" s="35" t="s">
        <v>644</v>
      </c>
      <c r="F48" s="35" t="s">
        <v>72</v>
      </c>
      <c r="G48" s="35" t="s">
        <v>638</v>
      </c>
      <c r="H48" s="35" t="s">
        <v>196</v>
      </c>
      <c r="I48" s="35" t="s">
        <v>150</v>
      </c>
      <c r="J48" s="35"/>
      <c r="K48" s="35">
        <v>2</v>
      </c>
      <c r="L48" s="35"/>
      <c r="M48" s="35"/>
      <c r="N48" s="35"/>
      <c r="O48" s="35"/>
      <c r="P48" s="35" t="s">
        <v>640</v>
      </c>
    </row>
    <row r="49" spans="2:16" ht="27.75" customHeight="1">
      <c r="B49" s="35" t="s">
        <v>355</v>
      </c>
      <c r="C49" s="36" t="s">
        <v>356</v>
      </c>
      <c r="D49" s="35" t="s">
        <v>75</v>
      </c>
      <c r="E49" s="35" t="s">
        <v>644</v>
      </c>
      <c r="F49" s="35" t="s">
        <v>72</v>
      </c>
      <c r="G49" s="35" t="s">
        <v>638</v>
      </c>
      <c r="H49" s="35" t="s">
        <v>196</v>
      </c>
      <c r="I49" s="35" t="s">
        <v>150</v>
      </c>
      <c r="J49" s="35"/>
      <c r="K49" s="35">
        <v>2</v>
      </c>
      <c r="L49" s="35"/>
      <c r="M49" s="35"/>
      <c r="N49" s="35"/>
      <c r="O49" s="35"/>
      <c r="P49" s="35" t="s">
        <v>640</v>
      </c>
    </row>
    <row r="50" spans="2:16" ht="15" customHeight="1">
      <c r="B50" s="35" t="s">
        <v>358</v>
      </c>
      <c r="C50" s="36" t="s">
        <v>359</v>
      </c>
      <c r="D50" s="35" t="s">
        <v>75</v>
      </c>
      <c r="E50" s="35" t="s">
        <v>644</v>
      </c>
      <c r="F50" s="35" t="s">
        <v>72</v>
      </c>
      <c r="G50" s="35" t="s">
        <v>638</v>
      </c>
      <c r="H50" s="35" t="s">
        <v>196</v>
      </c>
      <c r="I50" s="35" t="s">
        <v>150</v>
      </c>
      <c r="J50" s="35"/>
      <c r="K50" s="35">
        <v>2</v>
      </c>
      <c r="L50" s="35"/>
      <c r="M50" s="35"/>
      <c r="N50" s="35"/>
      <c r="O50" s="35"/>
      <c r="P50" s="35" t="s">
        <v>640</v>
      </c>
    </row>
    <row r="51" spans="2:16" ht="15" customHeight="1">
      <c r="B51" s="35" t="s">
        <v>363</v>
      </c>
      <c r="C51" s="36" t="s">
        <v>364</v>
      </c>
      <c r="D51" s="35" t="s">
        <v>75</v>
      </c>
      <c r="E51" s="35" t="s">
        <v>644</v>
      </c>
      <c r="F51" s="35" t="s">
        <v>72</v>
      </c>
      <c r="G51" s="35" t="s">
        <v>638</v>
      </c>
      <c r="H51" s="35" t="s">
        <v>196</v>
      </c>
      <c r="I51" s="35" t="s">
        <v>150</v>
      </c>
      <c r="J51" s="35"/>
      <c r="K51" s="35">
        <v>2</v>
      </c>
      <c r="L51" s="35"/>
      <c r="M51" s="35"/>
      <c r="N51" s="35"/>
      <c r="O51" s="35"/>
      <c r="P51" s="35" t="s">
        <v>640</v>
      </c>
    </row>
    <row r="52" spans="2:16" ht="15" customHeight="1">
      <c r="B52" s="35" t="s">
        <v>368</v>
      </c>
      <c r="C52" s="36" t="s">
        <v>369</v>
      </c>
      <c r="D52" s="35" t="s">
        <v>77</v>
      </c>
      <c r="E52" s="35" t="s">
        <v>639</v>
      </c>
      <c r="F52" s="35" t="s">
        <v>72</v>
      </c>
      <c r="G52" s="35" t="s">
        <v>636</v>
      </c>
      <c r="H52" s="35" t="s">
        <v>202</v>
      </c>
      <c r="I52" s="35" t="s">
        <v>203</v>
      </c>
      <c r="J52" s="35"/>
      <c r="K52" s="35">
        <v>3</v>
      </c>
      <c r="L52" s="35">
        <v>4</v>
      </c>
      <c r="M52" s="35">
        <v>6</v>
      </c>
      <c r="N52" s="35">
        <v>8</v>
      </c>
      <c r="O52" s="35">
        <v>10</v>
      </c>
      <c r="P52" s="35" t="s">
        <v>642</v>
      </c>
    </row>
    <row r="53" spans="2:16" ht="15" customHeight="1">
      <c r="B53" s="35" t="s">
        <v>373</v>
      </c>
      <c r="C53" s="36" t="s">
        <v>374</v>
      </c>
      <c r="D53" s="35" t="s">
        <v>77</v>
      </c>
      <c r="E53" s="35" t="s">
        <v>639</v>
      </c>
      <c r="F53" s="35" t="s">
        <v>72</v>
      </c>
      <c r="G53" s="35" t="s">
        <v>636</v>
      </c>
      <c r="H53" s="35" t="s">
        <v>202</v>
      </c>
      <c r="I53" s="35" t="s">
        <v>203</v>
      </c>
      <c r="J53" s="35"/>
      <c r="K53" s="35">
        <v>3</v>
      </c>
      <c r="L53" s="35">
        <v>50</v>
      </c>
      <c r="M53" s="35">
        <v>65</v>
      </c>
      <c r="N53" s="35">
        <v>80</v>
      </c>
      <c r="O53" s="35">
        <v>90</v>
      </c>
      <c r="P53" s="35" t="s">
        <v>642</v>
      </c>
    </row>
    <row r="54" spans="2:16" ht="15" customHeight="1">
      <c r="B54" s="35" t="s">
        <v>378</v>
      </c>
      <c r="C54" s="36" t="s">
        <v>379</v>
      </c>
      <c r="D54" s="35" t="s">
        <v>77</v>
      </c>
      <c r="E54" s="35" t="s">
        <v>639</v>
      </c>
      <c r="F54" s="35" t="s">
        <v>72</v>
      </c>
      <c r="G54" s="35" t="s">
        <v>636</v>
      </c>
      <c r="H54" s="35" t="s">
        <v>202</v>
      </c>
      <c r="I54" s="35" t="s">
        <v>203</v>
      </c>
      <c r="J54" s="35"/>
      <c r="K54" s="35">
        <v>3</v>
      </c>
      <c r="L54" s="35">
        <v>10</v>
      </c>
      <c r="M54" s="35">
        <v>20</v>
      </c>
      <c r="N54" s="35">
        <v>30</v>
      </c>
      <c r="O54" s="35">
        <v>40</v>
      </c>
      <c r="P54" s="35" t="s">
        <v>642</v>
      </c>
    </row>
    <row r="55" spans="2:16" ht="15" customHeight="1">
      <c r="B55" s="35" t="s">
        <v>383</v>
      </c>
      <c r="C55" s="36" t="s">
        <v>384</v>
      </c>
      <c r="D55" s="35" t="s">
        <v>77</v>
      </c>
      <c r="E55" s="35" t="s">
        <v>639</v>
      </c>
      <c r="F55" s="35" t="s">
        <v>72</v>
      </c>
      <c r="G55" s="35" t="s">
        <v>638</v>
      </c>
      <c r="H55" s="35" t="s">
        <v>202</v>
      </c>
      <c r="I55" s="35" t="s">
        <v>203</v>
      </c>
      <c r="J55" s="35"/>
      <c r="K55" s="35">
        <v>2</v>
      </c>
      <c r="L55" s="35">
        <v>10</v>
      </c>
      <c r="M55" s="35">
        <v>25</v>
      </c>
      <c r="N55" s="35">
        <v>50</v>
      </c>
      <c r="O55" s="35">
        <v>75</v>
      </c>
      <c r="P55" s="35" t="s">
        <v>642</v>
      </c>
    </row>
    <row r="56" spans="2:16" ht="15" customHeight="1">
      <c r="B56" s="39" t="s">
        <v>389</v>
      </c>
      <c r="C56" s="40" t="s">
        <v>390</v>
      </c>
      <c r="D56" s="39" t="s">
        <v>77</v>
      </c>
      <c r="E56" s="39" t="s">
        <v>639</v>
      </c>
      <c r="F56" s="39" t="s">
        <v>72</v>
      </c>
      <c r="G56" s="39" t="s">
        <v>638</v>
      </c>
      <c r="H56" s="39" t="s">
        <v>202</v>
      </c>
      <c r="I56" s="39" t="s">
        <v>203</v>
      </c>
      <c r="J56" s="39" t="s">
        <v>204</v>
      </c>
      <c r="K56" s="39">
        <v>2</v>
      </c>
      <c r="L56" s="39">
        <v>10</v>
      </c>
      <c r="M56" s="39">
        <v>25</v>
      </c>
      <c r="N56" s="39">
        <v>50</v>
      </c>
      <c r="O56" s="39">
        <v>75</v>
      </c>
      <c r="P56" s="39" t="s">
        <v>642</v>
      </c>
    </row>
    <row r="57" spans="2:16" ht="15" customHeight="1">
      <c r="B57" s="35" t="s">
        <v>394</v>
      </c>
      <c r="C57" s="36" t="s">
        <v>395</v>
      </c>
      <c r="D57" s="35" t="s">
        <v>77</v>
      </c>
      <c r="E57" s="35" t="s">
        <v>639</v>
      </c>
      <c r="F57" s="35" t="s">
        <v>72</v>
      </c>
      <c r="G57" s="35" t="s">
        <v>638</v>
      </c>
      <c r="H57" s="35" t="s">
        <v>196</v>
      </c>
      <c r="I57" s="35" t="s">
        <v>150</v>
      </c>
      <c r="J57" s="35"/>
      <c r="K57" s="35">
        <v>2</v>
      </c>
      <c r="L57" s="35"/>
      <c r="M57" s="35"/>
      <c r="N57" s="35"/>
      <c r="O57" s="35"/>
      <c r="P57" s="35" t="s">
        <v>640</v>
      </c>
    </row>
    <row r="58" spans="2:16" ht="15" customHeight="1">
      <c r="B58" s="39" t="s">
        <v>399</v>
      </c>
      <c r="C58" s="40" t="s">
        <v>400</v>
      </c>
      <c r="D58" s="39" t="s">
        <v>77</v>
      </c>
      <c r="E58" s="39" t="s">
        <v>639</v>
      </c>
      <c r="F58" s="39" t="s">
        <v>72</v>
      </c>
      <c r="G58" s="39" t="s">
        <v>638</v>
      </c>
      <c r="H58" s="39" t="s">
        <v>196</v>
      </c>
      <c r="I58" s="39" t="s">
        <v>150</v>
      </c>
      <c r="J58" s="39" t="s">
        <v>204</v>
      </c>
      <c r="K58" s="39">
        <v>2</v>
      </c>
      <c r="L58" s="39"/>
      <c r="M58" s="39"/>
      <c r="N58" s="39"/>
      <c r="O58" s="39"/>
      <c r="P58" s="39" t="s">
        <v>640</v>
      </c>
    </row>
    <row r="59" spans="2:16" ht="15" customHeight="1">
      <c r="B59" s="35" t="s">
        <v>404</v>
      </c>
      <c r="C59" s="36" t="s">
        <v>405</v>
      </c>
      <c r="D59" s="35" t="s">
        <v>77</v>
      </c>
      <c r="E59" s="35" t="s">
        <v>639</v>
      </c>
      <c r="F59" s="35" t="s">
        <v>72</v>
      </c>
      <c r="G59" s="35" t="s">
        <v>638</v>
      </c>
      <c r="H59" s="35" t="s">
        <v>196</v>
      </c>
      <c r="I59" s="35" t="s">
        <v>150</v>
      </c>
      <c r="J59" s="35"/>
      <c r="K59" s="35">
        <v>2</v>
      </c>
      <c r="L59" s="35"/>
      <c r="M59" s="35"/>
      <c r="N59" s="35"/>
      <c r="O59" s="35"/>
      <c r="P59" s="35" t="s">
        <v>640</v>
      </c>
    </row>
    <row r="60" spans="2:16" ht="15" customHeight="1">
      <c r="B60" s="35" t="s">
        <v>407</v>
      </c>
      <c r="C60" s="36" t="s">
        <v>408</v>
      </c>
      <c r="D60" s="35" t="s">
        <v>77</v>
      </c>
      <c r="E60" s="35" t="s">
        <v>639</v>
      </c>
      <c r="F60" s="35" t="s">
        <v>72</v>
      </c>
      <c r="G60" s="35" t="s">
        <v>638</v>
      </c>
      <c r="H60" s="35" t="s">
        <v>196</v>
      </c>
      <c r="I60" s="35" t="s">
        <v>150</v>
      </c>
      <c r="J60" s="35"/>
      <c r="K60" s="35">
        <v>2</v>
      </c>
      <c r="L60" s="35"/>
      <c r="M60" s="35"/>
      <c r="N60" s="35"/>
      <c r="O60" s="35"/>
      <c r="P60" s="35" t="s">
        <v>640</v>
      </c>
    </row>
    <row r="61" spans="2:16" ht="27.75" customHeight="1">
      <c r="B61" s="35" t="s">
        <v>411</v>
      </c>
      <c r="C61" s="36" t="s">
        <v>412</v>
      </c>
      <c r="D61" s="35" t="s">
        <v>77</v>
      </c>
      <c r="E61" s="35" t="s">
        <v>639</v>
      </c>
      <c r="F61" s="35" t="s">
        <v>72</v>
      </c>
      <c r="G61" s="35" t="s">
        <v>638</v>
      </c>
      <c r="H61" s="35" t="s">
        <v>202</v>
      </c>
      <c r="I61" s="35" t="s">
        <v>203</v>
      </c>
      <c r="J61" s="35"/>
      <c r="K61" s="35">
        <v>2</v>
      </c>
      <c r="L61" s="35">
        <v>2</v>
      </c>
      <c r="M61" s="35">
        <v>5</v>
      </c>
      <c r="N61" s="35">
        <v>10</v>
      </c>
      <c r="O61" s="35">
        <v>20</v>
      </c>
      <c r="P61" s="35" t="s">
        <v>642</v>
      </c>
    </row>
    <row r="62" spans="2:16" ht="15" customHeight="1">
      <c r="B62" s="35" t="s">
        <v>417</v>
      </c>
      <c r="C62" s="36" t="s">
        <v>418</v>
      </c>
      <c r="D62" s="35" t="s">
        <v>77</v>
      </c>
      <c r="E62" s="35" t="s">
        <v>639</v>
      </c>
      <c r="F62" s="35" t="s">
        <v>72</v>
      </c>
      <c r="G62" s="35" t="s">
        <v>638</v>
      </c>
      <c r="H62" s="35" t="s">
        <v>196</v>
      </c>
      <c r="I62" s="35" t="s">
        <v>150</v>
      </c>
      <c r="J62" s="35"/>
      <c r="K62" s="35">
        <v>2</v>
      </c>
      <c r="L62" s="35"/>
      <c r="M62" s="35"/>
      <c r="N62" s="35"/>
      <c r="O62" s="35"/>
      <c r="P62" s="35" t="s">
        <v>640</v>
      </c>
    </row>
    <row r="63" spans="2:16" ht="15" customHeight="1">
      <c r="B63" s="35" t="s">
        <v>421</v>
      </c>
      <c r="C63" s="36" t="s">
        <v>422</v>
      </c>
      <c r="D63" s="35" t="s">
        <v>77</v>
      </c>
      <c r="E63" s="35" t="s">
        <v>639</v>
      </c>
      <c r="F63" s="35" t="s">
        <v>72</v>
      </c>
      <c r="G63" s="35" t="s">
        <v>638</v>
      </c>
      <c r="H63" s="35" t="s">
        <v>202</v>
      </c>
      <c r="I63" s="35" t="s">
        <v>203</v>
      </c>
      <c r="J63" s="35"/>
      <c r="K63" s="35">
        <v>2</v>
      </c>
      <c r="L63" s="35">
        <v>20</v>
      </c>
      <c r="M63" s="35">
        <v>35</v>
      </c>
      <c r="N63" s="35">
        <v>45</v>
      </c>
      <c r="O63" s="35">
        <v>50</v>
      </c>
      <c r="P63" s="35" t="s">
        <v>642</v>
      </c>
    </row>
    <row r="64" spans="2:16" ht="27.75" customHeight="1">
      <c r="B64" s="35" t="s">
        <v>426</v>
      </c>
      <c r="C64" s="36" t="s">
        <v>427</v>
      </c>
      <c r="D64" s="35" t="s">
        <v>77</v>
      </c>
      <c r="E64" s="35" t="s">
        <v>639</v>
      </c>
      <c r="F64" s="35" t="s">
        <v>72</v>
      </c>
      <c r="G64" s="35" t="s">
        <v>638</v>
      </c>
      <c r="H64" s="35" t="s">
        <v>202</v>
      </c>
      <c r="I64" s="35" t="s">
        <v>203</v>
      </c>
      <c r="J64" s="35"/>
      <c r="K64" s="35">
        <v>3</v>
      </c>
      <c r="L64" s="35">
        <v>10</v>
      </c>
      <c r="M64" s="35">
        <v>25</v>
      </c>
      <c r="N64" s="35">
        <v>40</v>
      </c>
      <c r="O64" s="35">
        <v>50</v>
      </c>
      <c r="P64" s="35" t="s">
        <v>642</v>
      </c>
    </row>
    <row r="65" spans="2:16" ht="15" customHeight="1">
      <c r="B65" s="35" t="s">
        <v>429</v>
      </c>
      <c r="C65" s="36" t="s">
        <v>430</v>
      </c>
      <c r="D65" s="35" t="s">
        <v>79</v>
      </c>
      <c r="E65" s="35" t="s">
        <v>645</v>
      </c>
      <c r="F65" s="35" t="s">
        <v>81</v>
      </c>
      <c r="G65" s="35" t="s">
        <v>636</v>
      </c>
      <c r="H65" s="35" t="s">
        <v>202</v>
      </c>
      <c r="I65" s="35" t="s">
        <v>203</v>
      </c>
      <c r="J65" s="35"/>
      <c r="K65" s="35">
        <v>3</v>
      </c>
      <c r="L65" s="35">
        <v>25</v>
      </c>
      <c r="M65" s="35">
        <v>35</v>
      </c>
      <c r="N65" s="35">
        <v>45</v>
      </c>
      <c r="O65" s="35">
        <v>55</v>
      </c>
      <c r="P65" s="35" t="s">
        <v>642</v>
      </c>
    </row>
    <row r="66" spans="2:16" ht="15" customHeight="1">
      <c r="B66" s="35" t="s">
        <v>434</v>
      </c>
      <c r="C66" s="36" t="s">
        <v>435</v>
      </c>
      <c r="D66" s="35" t="s">
        <v>79</v>
      </c>
      <c r="E66" s="35" t="s">
        <v>645</v>
      </c>
      <c r="F66" s="35" t="s">
        <v>81</v>
      </c>
      <c r="G66" s="35" t="s">
        <v>636</v>
      </c>
      <c r="H66" s="35" t="s">
        <v>202</v>
      </c>
      <c r="I66" s="35" t="s">
        <v>203</v>
      </c>
      <c r="J66" s="35"/>
      <c r="K66" s="35">
        <v>3</v>
      </c>
      <c r="L66" s="35">
        <v>0.1</v>
      </c>
      <c r="M66" s="35">
        <v>0.5</v>
      </c>
      <c r="N66" s="35">
        <v>1</v>
      </c>
      <c r="O66" s="35">
        <v>2</v>
      </c>
      <c r="P66" s="35" t="s">
        <v>642</v>
      </c>
    </row>
    <row r="67" spans="2:16" ht="15" customHeight="1">
      <c r="B67" s="35" t="s">
        <v>439</v>
      </c>
      <c r="C67" s="36" t="s">
        <v>440</v>
      </c>
      <c r="D67" s="35" t="s">
        <v>79</v>
      </c>
      <c r="E67" s="35" t="s">
        <v>645</v>
      </c>
      <c r="F67" s="35" t="s">
        <v>81</v>
      </c>
      <c r="G67" s="35" t="s">
        <v>636</v>
      </c>
      <c r="H67" s="35" t="s">
        <v>202</v>
      </c>
      <c r="I67" s="35" t="s">
        <v>203</v>
      </c>
      <c r="J67" s="35"/>
      <c r="K67" s="35">
        <v>3</v>
      </c>
      <c r="L67" s="35">
        <v>30</v>
      </c>
      <c r="M67" s="35">
        <v>45</v>
      </c>
      <c r="N67" s="35">
        <v>60</v>
      </c>
      <c r="O67" s="35">
        <v>75</v>
      </c>
      <c r="P67" s="35" t="s">
        <v>642</v>
      </c>
    </row>
    <row r="68" spans="2:16" ht="15" customHeight="1">
      <c r="B68" s="35" t="s">
        <v>444</v>
      </c>
      <c r="C68" s="36" t="s">
        <v>445</v>
      </c>
      <c r="D68" s="35" t="s">
        <v>79</v>
      </c>
      <c r="E68" s="35" t="s">
        <v>645</v>
      </c>
      <c r="F68" s="35" t="s">
        <v>81</v>
      </c>
      <c r="G68" s="35" t="s">
        <v>638</v>
      </c>
      <c r="H68" s="35" t="s">
        <v>196</v>
      </c>
      <c r="I68" s="35" t="s">
        <v>150</v>
      </c>
      <c r="J68" s="35"/>
      <c r="K68" s="35">
        <v>2</v>
      </c>
      <c r="L68" s="35"/>
      <c r="M68" s="35"/>
      <c r="N68" s="35"/>
      <c r="O68" s="35"/>
      <c r="P68" s="35" t="s">
        <v>640</v>
      </c>
    </row>
    <row r="69" spans="2:16" ht="15" customHeight="1">
      <c r="B69" s="35" t="s">
        <v>450</v>
      </c>
      <c r="C69" s="36" t="s">
        <v>451</v>
      </c>
      <c r="D69" s="35" t="s">
        <v>79</v>
      </c>
      <c r="E69" s="35" t="s">
        <v>645</v>
      </c>
      <c r="F69" s="35" t="s">
        <v>81</v>
      </c>
      <c r="G69" s="35" t="s">
        <v>638</v>
      </c>
      <c r="H69" s="35" t="s">
        <v>196</v>
      </c>
      <c r="I69" s="35" t="s">
        <v>150</v>
      </c>
      <c r="J69" s="35"/>
      <c r="K69" s="35">
        <v>2</v>
      </c>
      <c r="L69" s="35"/>
      <c r="M69" s="35"/>
      <c r="N69" s="35"/>
      <c r="O69" s="35"/>
      <c r="P69" s="35" t="s">
        <v>640</v>
      </c>
    </row>
    <row r="70" spans="2:16" ht="15" customHeight="1">
      <c r="B70" s="35" t="s">
        <v>456</v>
      </c>
      <c r="C70" s="36" t="s">
        <v>457</v>
      </c>
      <c r="D70" s="35" t="s">
        <v>79</v>
      </c>
      <c r="E70" s="35" t="s">
        <v>645</v>
      </c>
      <c r="F70" s="35" t="s">
        <v>81</v>
      </c>
      <c r="G70" s="35" t="s">
        <v>638</v>
      </c>
      <c r="H70" s="35" t="s">
        <v>196</v>
      </c>
      <c r="I70" s="35" t="s">
        <v>150</v>
      </c>
      <c r="J70" s="35"/>
      <c r="K70" s="35">
        <v>2</v>
      </c>
      <c r="L70" s="35"/>
      <c r="M70" s="35"/>
      <c r="N70" s="35"/>
      <c r="O70" s="35"/>
      <c r="P70" s="35" t="s">
        <v>640</v>
      </c>
    </row>
    <row r="71" spans="2:16" ht="15" customHeight="1">
      <c r="B71" s="35" t="s">
        <v>461</v>
      </c>
      <c r="C71" s="36" t="s">
        <v>462</v>
      </c>
      <c r="D71" s="35" t="s">
        <v>79</v>
      </c>
      <c r="E71" s="35" t="s">
        <v>645</v>
      </c>
      <c r="F71" s="35" t="s">
        <v>81</v>
      </c>
      <c r="G71" s="35" t="s">
        <v>638</v>
      </c>
      <c r="H71" s="35" t="s">
        <v>202</v>
      </c>
      <c r="I71" s="35" t="s">
        <v>203</v>
      </c>
      <c r="J71" s="35"/>
      <c r="K71" s="35">
        <v>2</v>
      </c>
      <c r="L71" s="35">
        <v>5</v>
      </c>
      <c r="M71" s="35">
        <v>15</v>
      </c>
      <c r="N71" s="35">
        <v>30</v>
      </c>
      <c r="O71" s="35">
        <v>50</v>
      </c>
      <c r="P71" s="35" t="s">
        <v>642</v>
      </c>
    </row>
    <row r="72" spans="2:16" ht="15" customHeight="1">
      <c r="B72" s="35" t="s">
        <v>465</v>
      </c>
      <c r="C72" s="36" t="s">
        <v>466</v>
      </c>
      <c r="D72" s="35" t="s">
        <v>79</v>
      </c>
      <c r="E72" s="35" t="s">
        <v>645</v>
      </c>
      <c r="F72" s="35" t="s">
        <v>81</v>
      </c>
      <c r="G72" s="35" t="s">
        <v>638</v>
      </c>
      <c r="H72" s="35" t="s">
        <v>196</v>
      </c>
      <c r="I72" s="35" t="s">
        <v>150</v>
      </c>
      <c r="J72" s="35"/>
      <c r="K72" s="35">
        <v>2</v>
      </c>
      <c r="L72" s="35"/>
      <c r="M72" s="35"/>
      <c r="N72" s="35"/>
      <c r="O72" s="35"/>
      <c r="P72" s="35" t="s">
        <v>640</v>
      </c>
    </row>
    <row r="73" spans="2:16" ht="15" customHeight="1">
      <c r="B73" s="35" t="s">
        <v>470</v>
      </c>
      <c r="C73" s="36" t="s">
        <v>471</v>
      </c>
      <c r="D73" s="35" t="s">
        <v>79</v>
      </c>
      <c r="E73" s="35" t="s">
        <v>645</v>
      </c>
      <c r="F73" s="35" t="s">
        <v>81</v>
      </c>
      <c r="G73" s="35" t="s">
        <v>638</v>
      </c>
      <c r="H73" s="35" t="s">
        <v>196</v>
      </c>
      <c r="I73" s="35" t="s">
        <v>150</v>
      </c>
      <c r="J73" s="35"/>
      <c r="K73" s="35">
        <v>2</v>
      </c>
      <c r="L73" s="35"/>
      <c r="M73" s="35"/>
      <c r="N73" s="35"/>
      <c r="O73" s="35"/>
      <c r="P73" s="35" t="s">
        <v>640</v>
      </c>
    </row>
    <row r="74" spans="2:16" ht="27.75" customHeight="1">
      <c r="B74" s="35" t="s">
        <v>475</v>
      </c>
      <c r="C74" s="36" t="s">
        <v>476</v>
      </c>
      <c r="D74" s="35" t="s">
        <v>79</v>
      </c>
      <c r="E74" s="35" t="s">
        <v>645</v>
      </c>
      <c r="F74" s="35" t="s">
        <v>81</v>
      </c>
      <c r="G74" s="35" t="s">
        <v>638</v>
      </c>
      <c r="H74" s="35" t="s">
        <v>196</v>
      </c>
      <c r="I74" s="35" t="s">
        <v>150</v>
      </c>
      <c r="J74" s="35"/>
      <c r="K74" s="35">
        <v>2</v>
      </c>
      <c r="L74" s="35"/>
      <c r="M74" s="35"/>
      <c r="N74" s="35"/>
      <c r="O74" s="35"/>
      <c r="P74" s="35" t="s">
        <v>640</v>
      </c>
    </row>
    <row r="75" spans="2:16" ht="15" customHeight="1">
      <c r="B75" s="35" t="s">
        <v>480</v>
      </c>
      <c r="C75" s="36" t="s">
        <v>481</v>
      </c>
      <c r="D75" s="35" t="s">
        <v>79</v>
      </c>
      <c r="E75" s="35" t="s">
        <v>645</v>
      </c>
      <c r="F75" s="35" t="s">
        <v>81</v>
      </c>
      <c r="G75" s="35" t="s">
        <v>638</v>
      </c>
      <c r="H75" s="35" t="s">
        <v>196</v>
      </c>
      <c r="I75" s="35" t="s">
        <v>150</v>
      </c>
      <c r="J75" s="35"/>
      <c r="K75" s="35">
        <v>2</v>
      </c>
      <c r="L75" s="35"/>
      <c r="M75" s="35"/>
      <c r="N75" s="35"/>
      <c r="O75" s="35"/>
      <c r="P75" s="35" t="s">
        <v>640</v>
      </c>
    </row>
    <row r="76" spans="2:16" ht="15" customHeight="1">
      <c r="B76" s="35" t="s">
        <v>485</v>
      </c>
      <c r="C76" s="36" t="s">
        <v>486</v>
      </c>
      <c r="D76" s="35" t="s">
        <v>79</v>
      </c>
      <c r="E76" s="35" t="s">
        <v>645</v>
      </c>
      <c r="F76" s="35" t="s">
        <v>81</v>
      </c>
      <c r="G76" s="35" t="s">
        <v>638</v>
      </c>
      <c r="H76" s="35" t="s">
        <v>196</v>
      </c>
      <c r="I76" s="35" t="s">
        <v>150</v>
      </c>
      <c r="J76" s="35"/>
      <c r="K76" s="35">
        <v>2</v>
      </c>
      <c r="L76" s="35"/>
      <c r="M76" s="35"/>
      <c r="N76" s="35"/>
      <c r="O76" s="35"/>
      <c r="P76" s="35" t="s">
        <v>640</v>
      </c>
    </row>
    <row r="77" spans="2:16" ht="15" customHeight="1">
      <c r="B77" s="35" t="s">
        <v>490</v>
      </c>
      <c r="C77" s="36" t="s">
        <v>491</v>
      </c>
      <c r="D77" s="35" t="s">
        <v>79</v>
      </c>
      <c r="E77" s="35" t="s">
        <v>645</v>
      </c>
      <c r="F77" s="35" t="s">
        <v>81</v>
      </c>
      <c r="G77" s="35" t="s">
        <v>638</v>
      </c>
      <c r="H77" s="35" t="s">
        <v>202</v>
      </c>
      <c r="I77" s="35" t="s">
        <v>203</v>
      </c>
      <c r="J77" s="35"/>
      <c r="K77" s="35">
        <v>2</v>
      </c>
      <c r="L77" s="35">
        <v>10</v>
      </c>
      <c r="M77" s="35">
        <v>25</v>
      </c>
      <c r="N77" s="35">
        <v>50</v>
      </c>
      <c r="O77" s="35">
        <v>75</v>
      </c>
      <c r="P77" s="35" t="s">
        <v>642</v>
      </c>
    </row>
    <row r="78" spans="2:16" ht="27.75" customHeight="1">
      <c r="B78" s="39" t="s">
        <v>494</v>
      </c>
      <c r="C78" s="40" t="s">
        <v>495</v>
      </c>
      <c r="D78" s="39" t="s">
        <v>79</v>
      </c>
      <c r="E78" s="39" t="s">
        <v>645</v>
      </c>
      <c r="F78" s="39" t="s">
        <v>81</v>
      </c>
      <c r="G78" s="39" t="s">
        <v>638</v>
      </c>
      <c r="H78" s="39" t="s">
        <v>196</v>
      </c>
      <c r="I78" s="39" t="s">
        <v>150</v>
      </c>
      <c r="J78" s="39" t="s">
        <v>204</v>
      </c>
      <c r="K78" s="39">
        <v>2</v>
      </c>
      <c r="L78" s="39"/>
      <c r="M78" s="39"/>
      <c r="N78" s="39"/>
      <c r="O78" s="39"/>
      <c r="P78" s="39" t="s">
        <v>640</v>
      </c>
    </row>
    <row r="79" spans="2:16" ht="15" customHeight="1">
      <c r="B79" s="35" t="s">
        <v>499</v>
      </c>
      <c r="C79" s="36" t="s">
        <v>500</v>
      </c>
      <c r="D79" s="35" t="s">
        <v>82</v>
      </c>
      <c r="E79" s="35" t="s">
        <v>646</v>
      </c>
      <c r="F79" s="35" t="s">
        <v>81</v>
      </c>
      <c r="G79" s="35" t="s">
        <v>636</v>
      </c>
      <c r="H79" s="35" t="s">
        <v>202</v>
      </c>
      <c r="I79" s="35" t="s">
        <v>203</v>
      </c>
      <c r="J79" s="35"/>
      <c r="K79" s="35">
        <v>3</v>
      </c>
      <c r="L79" s="35">
        <v>1</v>
      </c>
      <c r="M79" s="35">
        <v>5</v>
      </c>
      <c r="N79" s="35">
        <v>20</v>
      </c>
      <c r="O79" s="35">
        <v>50</v>
      </c>
      <c r="P79" s="35" t="s">
        <v>642</v>
      </c>
    </row>
    <row r="80" spans="2:16" ht="15" customHeight="1">
      <c r="B80" s="35" t="s">
        <v>504</v>
      </c>
      <c r="C80" s="36" t="s">
        <v>505</v>
      </c>
      <c r="D80" s="35" t="s">
        <v>82</v>
      </c>
      <c r="E80" s="35" t="s">
        <v>646</v>
      </c>
      <c r="F80" s="35" t="s">
        <v>81</v>
      </c>
      <c r="G80" s="35" t="s">
        <v>638</v>
      </c>
      <c r="H80" s="35" t="s">
        <v>196</v>
      </c>
      <c r="I80" s="35" t="s">
        <v>150</v>
      </c>
      <c r="J80" s="35"/>
      <c r="K80" s="35">
        <v>2</v>
      </c>
      <c r="L80" s="35"/>
      <c r="M80" s="35"/>
      <c r="N80" s="35"/>
      <c r="O80" s="35"/>
      <c r="P80" s="35" t="s">
        <v>640</v>
      </c>
    </row>
    <row r="81" spans="2:16" ht="15" customHeight="1">
      <c r="B81" s="35" t="s">
        <v>509</v>
      </c>
      <c r="C81" s="36" t="s">
        <v>510</v>
      </c>
      <c r="D81" s="35" t="s">
        <v>82</v>
      </c>
      <c r="E81" s="35" t="s">
        <v>646</v>
      </c>
      <c r="F81" s="35" t="s">
        <v>81</v>
      </c>
      <c r="G81" s="35" t="s">
        <v>638</v>
      </c>
      <c r="H81" s="35" t="s">
        <v>202</v>
      </c>
      <c r="I81" s="35" t="s">
        <v>203</v>
      </c>
      <c r="J81" s="35"/>
      <c r="K81" s="35">
        <v>2</v>
      </c>
      <c r="L81" s="35">
        <v>2</v>
      </c>
      <c r="M81" s="35">
        <v>10</v>
      </c>
      <c r="N81" s="35">
        <v>25</v>
      </c>
      <c r="O81" s="35">
        <v>50</v>
      </c>
      <c r="P81" s="35" t="s">
        <v>642</v>
      </c>
    </row>
    <row r="82" spans="2:16" ht="15" customHeight="1">
      <c r="B82" s="35" t="s">
        <v>515</v>
      </c>
      <c r="C82" s="36" t="s">
        <v>516</v>
      </c>
      <c r="D82" s="35" t="s">
        <v>82</v>
      </c>
      <c r="E82" s="35" t="s">
        <v>646</v>
      </c>
      <c r="F82" s="35" t="s">
        <v>81</v>
      </c>
      <c r="G82" s="35" t="s">
        <v>638</v>
      </c>
      <c r="H82" s="35" t="s">
        <v>202</v>
      </c>
      <c r="I82" s="35" t="s">
        <v>203</v>
      </c>
      <c r="J82" s="35"/>
      <c r="K82" s="35">
        <v>2</v>
      </c>
      <c r="L82" s="35">
        <v>10</v>
      </c>
      <c r="M82" s="35">
        <v>25</v>
      </c>
      <c r="N82" s="35">
        <v>50</v>
      </c>
      <c r="O82" s="35">
        <v>75</v>
      </c>
      <c r="P82" s="35" t="s">
        <v>642</v>
      </c>
    </row>
    <row r="83" spans="2:16" ht="15" customHeight="1">
      <c r="B83" s="35" t="s">
        <v>519</v>
      </c>
      <c r="C83" s="36" t="s">
        <v>520</v>
      </c>
      <c r="D83" s="35" t="s">
        <v>82</v>
      </c>
      <c r="E83" s="35" t="s">
        <v>646</v>
      </c>
      <c r="F83" s="35" t="s">
        <v>81</v>
      </c>
      <c r="G83" s="35" t="s">
        <v>638</v>
      </c>
      <c r="H83" s="35" t="s">
        <v>202</v>
      </c>
      <c r="I83" s="35" t="s">
        <v>203</v>
      </c>
      <c r="J83" s="35"/>
      <c r="K83" s="35">
        <v>2</v>
      </c>
      <c r="L83" s="35">
        <v>10</v>
      </c>
      <c r="M83" s="35">
        <v>25</v>
      </c>
      <c r="N83" s="35">
        <v>50</v>
      </c>
      <c r="O83" s="35">
        <v>75</v>
      </c>
      <c r="P83" s="35" t="s">
        <v>642</v>
      </c>
    </row>
    <row r="84" spans="2:16" ht="15" customHeight="1">
      <c r="B84" s="35" t="s">
        <v>523</v>
      </c>
      <c r="C84" s="36" t="s">
        <v>524</v>
      </c>
      <c r="D84" s="35" t="s">
        <v>82</v>
      </c>
      <c r="E84" s="35" t="s">
        <v>646</v>
      </c>
      <c r="F84" s="35" t="s">
        <v>81</v>
      </c>
      <c r="G84" s="35" t="s">
        <v>638</v>
      </c>
      <c r="H84" s="35" t="s">
        <v>202</v>
      </c>
      <c r="I84" s="35" t="s">
        <v>203</v>
      </c>
      <c r="J84" s="35"/>
      <c r="K84" s="35">
        <v>2</v>
      </c>
      <c r="L84" s="35">
        <v>10</v>
      </c>
      <c r="M84" s="35">
        <v>25</v>
      </c>
      <c r="N84" s="35">
        <v>50</v>
      </c>
      <c r="O84" s="35">
        <v>75</v>
      </c>
      <c r="P84" s="35" t="s">
        <v>642</v>
      </c>
    </row>
    <row r="85" spans="2:16" ht="27.75" customHeight="1">
      <c r="B85" s="35" t="s">
        <v>526</v>
      </c>
      <c r="C85" s="36" t="s">
        <v>527</v>
      </c>
      <c r="D85" s="35" t="s">
        <v>82</v>
      </c>
      <c r="E85" s="35" t="s">
        <v>646</v>
      </c>
      <c r="F85" s="35" t="s">
        <v>81</v>
      </c>
      <c r="G85" s="35" t="s">
        <v>638</v>
      </c>
      <c r="H85" s="35" t="s">
        <v>202</v>
      </c>
      <c r="I85" s="35" t="s">
        <v>203</v>
      </c>
      <c r="J85" s="35"/>
      <c r="K85" s="35">
        <v>2</v>
      </c>
      <c r="L85" s="35">
        <v>10</v>
      </c>
      <c r="M85" s="35">
        <v>25</v>
      </c>
      <c r="N85" s="35">
        <v>50</v>
      </c>
      <c r="O85" s="35">
        <v>75</v>
      </c>
      <c r="P85" s="35" t="s">
        <v>642</v>
      </c>
    </row>
    <row r="86" spans="2:16" ht="15" customHeight="1">
      <c r="B86" s="35" t="s">
        <v>530</v>
      </c>
      <c r="C86" s="36" t="s">
        <v>531</v>
      </c>
      <c r="D86" s="35" t="s">
        <v>82</v>
      </c>
      <c r="E86" s="35" t="s">
        <v>646</v>
      </c>
      <c r="F86" s="35" t="s">
        <v>81</v>
      </c>
      <c r="G86" s="35" t="s">
        <v>638</v>
      </c>
      <c r="H86" s="35" t="s">
        <v>196</v>
      </c>
      <c r="I86" s="35" t="s">
        <v>150</v>
      </c>
      <c r="J86" s="35"/>
      <c r="K86" s="35">
        <v>2</v>
      </c>
      <c r="L86" s="35"/>
      <c r="M86" s="35"/>
      <c r="N86" s="35"/>
      <c r="O86" s="35"/>
      <c r="P86" s="35" t="s">
        <v>640</v>
      </c>
    </row>
    <row r="87" spans="2:16" ht="15" customHeight="1">
      <c r="B87" s="39" t="s">
        <v>534</v>
      </c>
      <c r="C87" s="40" t="s">
        <v>535</v>
      </c>
      <c r="D87" s="39" t="s">
        <v>82</v>
      </c>
      <c r="E87" s="39" t="s">
        <v>646</v>
      </c>
      <c r="F87" s="39" t="s">
        <v>81</v>
      </c>
      <c r="G87" s="39" t="s">
        <v>638</v>
      </c>
      <c r="H87" s="39" t="s">
        <v>196</v>
      </c>
      <c r="I87" s="39" t="s">
        <v>150</v>
      </c>
      <c r="J87" s="39" t="s">
        <v>204</v>
      </c>
      <c r="K87" s="39">
        <v>2</v>
      </c>
      <c r="L87" s="39"/>
      <c r="M87" s="39"/>
      <c r="N87" s="39"/>
      <c r="O87" s="39"/>
      <c r="P87" s="39" t="s">
        <v>640</v>
      </c>
    </row>
    <row r="88" spans="2:16" ht="27.75" customHeight="1">
      <c r="B88" s="35" t="s">
        <v>538</v>
      </c>
      <c r="C88" s="36" t="s">
        <v>539</v>
      </c>
      <c r="D88" s="35" t="s">
        <v>82</v>
      </c>
      <c r="E88" s="35" t="s">
        <v>646</v>
      </c>
      <c r="F88" s="35" t="s">
        <v>81</v>
      </c>
      <c r="G88" s="35" t="s">
        <v>638</v>
      </c>
      <c r="H88" s="35" t="s">
        <v>196</v>
      </c>
      <c r="I88" s="35" t="s">
        <v>150</v>
      </c>
      <c r="J88" s="35"/>
      <c r="K88" s="35">
        <v>2</v>
      </c>
      <c r="L88" s="35"/>
      <c r="M88" s="35"/>
      <c r="N88" s="35"/>
      <c r="O88" s="35"/>
      <c r="P88" s="35" t="s">
        <v>640</v>
      </c>
    </row>
    <row r="89" spans="2:16" ht="15" customHeight="1">
      <c r="B89" s="35" t="s">
        <v>541</v>
      </c>
      <c r="C89" s="36" t="s">
        <v>542</v>
      </c>
      <c r="D89" s="35" t="s">
        <v>82</v>
      </c>
      <c r="E89" s="35" t="s">
        <v>646</v>
      </c>
      <c r="F89" s="35" t="s">
        <v>81</v>
      </c>
      <c r="G89" s="35" t="s">
        <v>638</v>
      </c>
      <c r="H89" s="35" t="s">
        <v>196</v>
      </c>
      <c r="I89" s="35" t="s">
        <v>150</v>
      </c>
      <c r="J89" s="35"/>
      <c r="K89" s="35">
        <v>2</v>
      </c>
      <c r="L89" s="35"/>
      <c r="M89" s="35"/>
      <c r="N89" s="35"/>
      <c r="O89" s="35"/>
      <c r="P89" s="35" t="s">
        <v>640</v>
      </c>
    </row>
    <row r="90" spans="2:16" ht="15" customHeight="1">
      <c r="B90" s="39" t="s">
        <v>544</v>
      </c>
      <c r="C90" s="40" t="s">
        <v>545</v>
      </c>
      <c r="D90" s="39" t="s">
        <v>82</v>
      </c>
      <c r="E90" s="39" t="s">
        <v>646</v>
      </c>
      <c r="F90" s="39" t="s">
        <v>81</v>
      </c>
      <c r="G90" s="39" t="s">
        <v>638</v>
      </c>
      <c r="H90" s="39" t="s">
        <v>196</v>
      </c>
      <c r="I90" s="39" t="s">
        <v>150</v>
      </c>
      <c r="J90" s="39" t="s">
        <v>204</v>
      </c>
      <c r="K90" s="39">
        <v>2</v>
      </c>
      <c r="L90" s="39"/>
      <c r="M90" s="39"/>
      <c r="N90" s="39"/>
      <c r="O90" s="39"/>
      <c r="P90" s="39" t="s">
        <v>640</v>
      </c>
    </row>
    <row r="91" spans="2:16" ht="15" customHeight="1">
      <c r="B91" s="35" t="s">
        <v>548</v>
      </c>
      <c r="C91" s="36" t="s">
        <v>549</v>
      </c>
      <c r="D91" s="35" t="s">
        <v>84</v>
      </c>
      <c r="E91" s="35" t="s">
        <v>647</v>
      </c>
      <c r="F91" s="35" t="s">
        <v>86</v>
      </c>
      <c r="G91" s="35" t="s">
        <v>636</v>
      </c>
      <c r="H91" s="35" t="s">
        <v>202</v>
      </c>
      <c r="I91" s="35" t="s">
        <v>221</v>
      </c>
      <c r="J91" s="35"/>
      <c r="K91" s="35">
        <v>3</v>
      </c>
      <c r="L91" s="35">
        <v>25</v>
      </c>
      <c r="M91" s="35">
        <v>15</v>
      </c>
      <c r="N91" s="35">
        <v>7.5</v>
      </c>
      <c r="O91" s="35">
        <v>2.5</v>
      </c>
      <c r="P91" s="35" t="s">
        <v>642</v>
      </c>
    </row>
    <row r="92" spans="2:16" ht="15" customHeight="1">
      <c r="B92" s="35" t="s">
        <v>553</v>
      </c>
      <c r="C92" s="36" t="s">
        <v>554</v>
      </c>
      <c r="D92" s="35" t="s">
        <v>84</v>
      </c>
      <c r="E92" s="35" t="s">
        <v>647</v>
      </c>
      <c r="F92" s="35" t="s">
        <v>86</v>
      </c>
      <c r="G92" s="35" t="s">
        <v>636</v>
      </c>
      <c r="H92" s="35" t="s">
        <v>202</v>
      </c>
      <c r="I92" s="35" t="s">
        <v>203</v>
      </c>
      <c r="J92" s="35"/>
      <c r="K92" s="35">
        <v>3</v>
      </c>
      <c r="L92" s="35">
        <v>20</v>
      </c>
      <c r="M92" s="35">
        <v>40</v>
      </c>
      <c r="N92" s="35">
        <v>60</v>
      </c>
      <c r="O92" s="35">
        <v>80</v>
      </c>
      <c r="P92" s="35" t="s">
        <v>642</v>
      </c>
    </row>
    <row r="93" spans="2:16" ht="27.75" customHeight="1">
      <c r="B93" s="35" t="s">
        <v>558</v>
      </c>
      <c r="C93" s="36" t="s">
        <v>559</v>
      </c>
      <c r="D93" s="35" t="s">
        <v>84</v>
      </c>
      <c r="E93" s="35" t="s">
        <v>647</v>
      </c>
      <c r="F93" s="35" t="s">
        <v>86</v>
      </c>
      <c r="G93" s="35" t="s">
        <v>636</v>
      </c>
      <c r="H93" s="35" t="s">
        <v>202</v>
      </c>
      <c r="I93" s="35" t="s">
        <v>221</v>
      </c>
      <c r="J93" s="35"/>
      <c r="K93" s="35">
        <v>3</v>
      </c>
      <c r="L93" s="35">
        <v>25</v>
      </c>
      <c r="M93" s="35">
        <v>15</v>
      </c>
      <c r="N93" s="35">
        <v>8</v>
      </c>
      <c r="O93" s="35">
        <v>3</v>
      </c>
      <c r="P93" s="35" t="s">
        <v>642</v>
      </c>
    </row>
    <row r="94" spans="2:16" ht="15" customHeight="1">
      <c r="B94" s="35" t="s">
        <v>563</v>
      </c>
      <c r="C94" s="36" t="s">
        <v>564</v>
      </c>
      <c r="D94" s="35" t="s">
        <v>84</v>
      </c>
      <c r="E94" s="35" t="s">
        <v>647</v>
      </c>
      <c r="F94" s="35" t="s">
        <v>86</v>
      </c>
      <c r="G94" s="35" t="s">
        <v>636</v>
      </c>
      <c r="H94" s="35" t="s">
        <v>202</v>
      </c>
      <c r="I94" s="35" t="s">
        <v>203</v>
      </c>
      <c r="J94" s="35"/>
      <c r="K94" s="35">
        <v>3</v>
      </c>
      <c r="L94" s="35">
        <v>10</v>
      </c>
      <c r="M94" s="35">
        <v>25</v>
      </c>
      <c r="N94" s="35">
        <v>50</v>
      </c>
      <c r="O94" s="35">
        <v>75</v>
      </c>
      <c r="P94" s="35" t="s">
        <v>642</v>
      </c>
    </row>
    <row r="95" spans="2:16" ht="15" customHeight="1">
      <c r="B95" s="35" t="s">
        <v>568</v>
      </c>
      <c r="C95" s="36" t="s">
        <v>569</v>
      </c>
      <c r="D95" s="35" t="s">
        <v>84</v>
      </c>
      <c r="E95" s="35" t="s">
        <v>647</v>
      </c>
      <c r="F95" s="35" t="s">
        <v>86</v>
      </c>
      <c r="G95" s="35" t="s">
        <v>636</v>
      </c>
      <c r="H95" s="35" t="s">
        <v>202</v>
      </c>
      <c r="I95" s="35" t="s">
        <v>203</v>
      </c>
      <c r="J95" s="35"/>
      <c r="K95" s="35">
        <v>3</v>
      </c>
      <c r="L95" s="35">
        <v>10</v>
      </c>
      <c r="M95" s="35">
        <v>25</v>
      </c>
      <c r="N95" s="35">
        <v>40</v>
      </c>
      <c r="O95" s="35">
        <v>50</v>
      </c>
      <c r="P95" s="35" t="s">
        <v>642</v>
      </c>
    </row>
    <row r="96" spans="2:16" ht="27.75" customHeight="1">
      <c r="B96" s="35" t="s">
        <v>573</v>
      </c>
      <c r="C96" s="36" t="s">
        <v>574</v>
      </c>
      <c r="D96" s="35" t="s">
        <v>84</v>
      </c>
      <c r="E96" s="35" t="s">
        <v>647</v>
      </c>
      <c r="F96" s="35" t="s">
        <v>86</v>
      </c>
      <c r="G96" s="35" t="s">
        <v>638</v>
      </c>
      <c r="H96" s="35" t="s">
        <v>202</v>
      </c>
      <c r="I96" s="35" t="s">
        <v>221</v>
      </c>
      <c r="J96" s="35"/>
      <c r="K96" s="35">
        <v>3</v>
      </c>
      <c r="L96" s="35">
        <v>20</v>
      </c>
      <c r="M96" s="35">
        <v>10</v>
      </c>
      <c r="N96" s="35">
        <v>5</v>
      </c>
      <c r="O96" s="35">
        <v>2</v>
      </c>
      <c r="P96" s="35" t="s">
        <v>642</v>
      </c>
    </row>
    <row r="97" spans="2:16" ht="27.75" customHeight="1">
      <c r="B97" s="35" t="s">
        <v>578</v>
      </c>
      <c r="C97" s="36" t="s">
        <v>579</v>
      </c>
      <c r="D97" s="35" t="s">
        <v>84</v>
      </c>
      <c r="E97" s="35" t="s">
        <v>647</v>
      </c>
      <c r="F97" s="35" t="s">
        <v>86</v>
      </c>
      <c r="G97" s="35" t="s">
        <v>638</v>
      </c>
      <c r="H97" s="35" t="s">
        <v>202</v>
      </c>
      <c r="I97" s="35" t="s">
        <v>203</v>
      </c>
      <c r="J97" s="35"/>
      <c r="K97" s="35">
        <v>3</v>
      </c>
      <c r="L97" s="35">
        <v>10</v>
      </c>
      <c r="M97" s="35">
        <v>25</v>
      </c>
      <c r="N97" s="35">
        <v>50</v>
      </c>
      <c r="O97" s="35">
        <v>75</v>
      </c>
      <c r="P97" s="35" t="s">
        <v>642</v>
      </c>
    </row>
    <row r="98" spans="2:16" ht="15" customHeight="1">
      <c r="B98" s="35" t="s">
        <v>582</v>
      </c>
      <c r="C98" s="36" t="s">
        <v>583</v>
      </c>
      <c r="D98" s="35" t="s">
        <v>84</v>
      </c>
      <c r="E98" s="35" t="s">
        <v>647</v>
      </c>
      <c r="F98" s="35" t="s">
        <v>86</v>
      </c>
      <c r="G98" s="35" t="s">
        <v>638</v>
      </c>
      <c r="H98" s="35" t="s">
        <v>202</v>
      </c>
      <c r="I98" s="35" t="s">
        <v>203</v>
      </c>
      <c r="J98" s="35"/>
      <c r="K98" s="35">
        <v>3</v>
      </c>
      <c r="L98" s="35">
        <v>10</v>
      </c>
      <c r="M98" s="35">
        <v>25</v>
      </c>
      <c r="N98" s="35">
        <v>50</v>
      </c>
      <c r="O98" s="35">
        <v>75</v>
      </c>
      <c r="P98" s="35" t="s">
        <v>642</v>
      </c>
    </row>
    <row r="99" spans="2:16" ht="27.75" customHeight="1">
      <c r="B99" s="35" t="s">
        <v>586</v>
      </c>
      <c r="C99" s="36" t="s">
        <v>587</v>
      </c>
      <c r="D99" s="35" t="s">
        <v>84</v>
      </c>
      <c r="E99" s="35" t="s">
        <v>647</v>
      </c>
      <c r="F99" s="35" t="s">
        <v>86</v>
      </c>
      <c r="G99" s="35" t="s">
        <v>638</v>
      </c>
      <c r="H99" s="35" t="s">
        <v>202</v>
      </c>
      <c r="I99" s="35" t="s">
        <v>203</v>
      </c>
      <c r="J99" s="35"/>
      <c r="K99" s="35">
        <v>3</v>
      </c>
      <c r="L99" s="35">
        <v>10</v>
      </c>
      <c r="M99" s="35">
        <v>25</v>
      </c>
      <c r="N99" s="35">
        <v>50</v>
      </c>
      <c r="O99" s="35">
        <v>75</v>
      </c>
      <c r="P99" s="35" t="s">
        <v>642</v>
      </c>
    </row>
    <row r="100" spans="2:16" ht="27.75" customHeight="1">
      <c r="B100" s="35" t="s">
        <v>590</v>
      </c>
      <c r="C100" s="36" t="s">
        <v>591</v>
      </c>
      <c r="D100" s="35" t="s">
        <v>84</v>
      </c>
      <c r="E100" s="35" t="s">
        <v>647</v>
      </c>
      <c r="F100" s="35" t="s">
        <v>86</v>
      </c>
      <c r="G100" s="35" t="s">
        <v>638</v>
      </c>
      <c r="H100" s="35" t="s">
        <v>202</v>
      </c>
      <c r="I100" s="35" t="s">
        <v>203</v>
      </c>
      <c r="J100" s="35"/>
      <c r="K100" s="35">
        <v>3</v>
      </c>
      <c r="L100" s="35">
        <v>20</v>
      </c>
      <c r="M100" s="35">
        <v>40</v>
      </c>
      <c r="N100" s="35">
        <v>60</v>
      </c>
      <c r="O100" s="35">
        <v>80</v>
      </c>
      <c r="P100" s="35" t="s">
        <v>642</v>
      </c>
    </row>
    <row r="101" spans="2:16" ht="27.75" customHeight="1">
      <c r="B101" s="35" t="s">
        <v>594</v>
      </c>
      <c r="C101" s="36" t="s">
        <v>595</v>
      </c>
      <c r="D101" s="35" t="s">
        <v>84</v>
      </c>
      <c r="E101" s="35" t="s">
        <v>647</v>
      </c>
      <c r="F101" s="35" t="s">
        <v>86</v>
      </c>
      <c r="G101" s="35" t="s">
        <v>638</v>
      </c>
      <c r="H101" s="35" t="s">
        <v>202</v>
      </c>
      <c r="I101" s="35" t="s">
        <v>203</v>
      </c>
      <c r="J101" s="35"/>
      <c r="K101" s="35">
        <v>3</v>
      </c>
      <c r="L101" s="35">
        <v>25</v>
      </c>
      <c r="M101" s="35">
        <v>50</v>
      </c>
      <c r="N101" s="35">
        <v>75</v>
      </c>
      <c r="O101" s="35">
        <v>90</v>
      </c>
      <c r="P101" s="35" t="s">
        <v>642</v>
      </c>
    </row>
    <row r="102" spans="2:16" ht="15" customHeight="1">
      <c r="B102" s="35" t="s">
        <v>599</v>
      </c>
      <c r="C102" s="36" t="s">
        <v>600</v>
      </c>
      <c r="D102" s="35" t="s">
        <v>84</v>
      </c>
      <c r="E102" s="35" t="s">
        <v>647</v>
      </c>
      <c r="F102" s="35" t="s">
        <v>86</v>
      </c>
      <c r="G102" s="35" t="s">
        <v>638</v>
      </c>
      <c r="H102" s="35" t="s">
        <v>601</v>
      </c>
      <c r="I102" s="35" t="s">
        <v>150</v>
      </c>
      <c r="J102" s="35"/>
      <c r="K102" s="35">
        <v>3</v>
      </c>
      <c r="L102" s="35"/>
      <c r="M102" s="35"/>
      <c r="N102" s="35"/>
      <c r="O102" s="35"/>
      <c r="P102" s="35" t="s">
        <v>640</v>
      </c>
    </row>
    <row r="103" spans="2:16" ht="15" customHeight="1">
      <c r="B103" s="35" t="s">
        <v>605</v>
      </c>
      <c r="C103" s="36" t="s">
        <v>606</v>
      </c>
      <c r="D103" s="35" t="s">
        <v>84</v>
      </c>
      <c r="E103" s="35" t="s">
        <v>647</v>
      </c>
      <c r="F103" s="35" t="s">
        <v>86</v>
      </c>
      <c r="G103" s="35" t="s">
        <v>638</v>
      </c>
      <c r="H103" s="35" t="s">
        <v>601</v>
      </c>
      <c r="I103" s="35" t="s">
        <v>150</v>
      </c>
      <c r="J103" s="35"/>
      <c r="K103" s="35">
        <v>3</v>
      </c>
      <c r="L103" s="35"/>
      <c r="M103" s="35"/>
      <c r="N103" s="35"/>
      <c r="O103" s="35"/>
      <c r="P103" s="35" t="s">
        <v>640</v>
      </c>
    </row>
    <row r="104" spans="2:16" ht="15" customHeight="1">
      <c r="B104" s="35" t="s">
        <v>609</v>
      </c>
      <c r="C104" s="36" t="s">
        <v>610</v>
      </c>
      <c r="D104" s="35" t="s">
        <v>84</v>
      </c>
      <c r="E104" s="35" t="s">
        <v>647</v>
      </c>
      <c r="F104" s="35" t="s">
        <v>86</v>
      </c>
      <c r="G104" s="35" t="s">
        <v>638</v>
      </c>
      <c r="H104" s="35" t="s">
        <v>202</v>
      </c>
      <c r="I104" s="35" t="s">
        <v>203</v>
      </c>
      <c r="J104" s="35"/>
      <c r="K104" s="35">
        <v>3</v>
      </c>
      <c r="L104" s="35">
        <v>10</v>
      </c>
      <c r="M104" s="35">
        <v>25</v>
      </c>
      <c r="N104" s="35">
        <v>50</v>
      </c>
      <c r="O104" s="35">
        <v>75</v>
      </c>
      <c r="P104" s="35" t="s">
        <v>642</v>
      </c>
    </row>
    <row r="105" spans="2:16" ht="15" customHeight="1">
      <c r="B105" s="35" t="s">
        <v>613</v>
      </c>
      <c r="C105" s="36" t="s">
        <v>614</v>
      </c>
      <c r="D105" s="35" t="s">
        <v>84</v>
      </c>
      <c r="E105" s="35" t="s">
        <v>647</v>
      </c>
      <c r="F105" s="35" t="s">
        <v>86</v>
      </c>
      <c r="G105" s="35" t="s">
        <v>638</v>
      </c>
      <c r="H105" s="35" t="s">
        <v>202</v>
      </c>
      <c r="I105" s="35" t="s">
        <v>203</v>
      </c>
      <c r="J105" s="35"/>
      <c r="K105" s="35">
        <v>3</v>
      </c>
      <c r="L105" s="35">
        <v>20</v>
      </c>
      <c r="M105" s="35">
        <v>40</v>
      </c>
      <c r="N105" s="35">
        <v>60</v>
      </c>
      <c r="O105" s="35">
        <v>80</v>
      </c>
      <c r="P105" s="35" t="s">
        <v>642</v>
      </c>
    </row>
    <row r="106" spans="2:16" ht="15" customHeight="1">
      <c r="B106" s="35" t="s">
        <v>617</v>
      </c>
      <c r="C106" s="36" t="s">
        <v>618</v>
      </c>
      <c r="D106" s="35" t="s">
        <v>84</v>
      </c>
      <c r="E106" s="35" t="s">
        <v>647</v>
      </c>
      <c r="F106" s="35" t="s">
        <v>86</v>
      </c>
      <c r="G106" s="35" t="s">
        <v>638</v>
      </c>
      <c r="H106" s="35" t="s">
        <v>196</v>
      </c>
      <c r="I106" s="35" t="s">
        <v>150</v>
      </c>
      <c r="J106" s="35"/>
      <c r="K106" s="35">
        <v>3</v>
      </c>
      <c r="L106" s="35"/>
      <c r="M106" s="35"/>
      <c r="N106" s="35"/>
      <c r="O106" s="35"/>
      <c r="P106" s="35" t="s">
        <v>640</v>
      </c>
    </row>
    <row r="107" spans="2:16" ht="27.75" customHeight="1">
      <c r="B107" s="35" t="s">
        <v>620</v>
      </c>
      <c r="C107" s="36" t="s">
        <v>621</v>
      </c>
      <c r="D107" s="35" t="s">
        <v>84</v>
      </c>
      <c r="E107" s="35" t="s">
        <v>647</v>
      </c>
      <c r="F107" s="35" t="s">
        <v>86</v>
      </c>
      <c r="G107" s="35" t="s">
        <v>638</v>
      </c>
      <c r="H107" s="35" t="s">
        <v>202</v>
      </c>
      <c r="I107" s="35" t="s">
        <v>203</v>
      </c>
      <c r="J107" s="35"/>
      <c r="K107" s="35">
        <v>2</v>
      </c>
      <c r="L107" s="35">
        <v>20</v>
      </c>
      <c r="M107" s="35">
        <v>40</v>
      </c>
      <c r="N107" s="35">
        <v>60</v>
      </c>
      <c r="O107" s="35">
        <v>80</v>
      </c>
      <c r="P107" s="35" t="s">
        <v>642</v>
      </c>
    </row>
  </sheetData>
  <autoFilter ref="B5:P107"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07"/>
  <sheetViews>
    <sheetView zoomScaleNormal="100" workbookViewId="0">
      <pane xSplit="3" ySplit="5" topLeftCell="D6" activePane="bottomRight" state="frozen"/>
      <selection pane="topRight" activeCell="D1" sqref="D1"/>
      <selection pane="bottomLeft" activeCell="A6" sqref="A6"/>
      <selection pane="bottomRight"/>
    </sheetView>
  </sheetViews>
  <sheetFormatPr baseColWidth="10" defaultColWidth="8.6640625" defaultRowHeight="15"/>
  <cols>
    <col min="1" max="1" width="3" customWidth="1"/>
    <col min="2" max="2" width="8" customWidth="1"/>
    <col min="3" max="3" width="40" customWidth="1"/>
    <col min="4" max="8" width="34" customWidth="1"/>
  </cols>
  <sheetData>
    <row r="1" spans="2:8" ht="7.5" customHeight="1"/>
    <row r="2" spans="2:8" ht="27.75" customHeight="1">
      <c r="B2" s="3" t="s">
        <v>41</v>
      </c>
    </row>
    <row r="3" spans="2:8" ht="18" customHeight="1">
      <c r="B3" s="4" t="s">
        <v>648</v>
      </c>
    </row>
    <row r="5" spans="2:8" ht="30" customHeight="1">
      <c r="B5" s="11" t="s">
        <v>132</v>
      </c>
      <c r="C5" s="11" t="s">
        <v>133</v>
      </c>
      <c r="D5" s="11" t="s">
        <v>649</v>
      </c>
      <c r="E5" s="11" t="s">
        <v>650</v>
      </c>
      <c r="F5" s="11" t="s">
        <v>651</v>
      </c>
      <c r="G5" s="11" t="s">
        <v>652</v>
      </c>
      <c r="H5" s="11" t="s">
        <v>653</v>
      </c>
    </row>
    <row r="6" spans="2:8" ht="60" customHeight="1">
      <c r="B6" t="s">
        <v>147</v>
      </c>
      <c r="C6" t="s">
        <v>148</v>
      </c>
      <c r="D6" s="7" t="s">
        <v>654</v>
      </c>
      <c r="E6" s="7" t="s">
        <v>655</v>
      </c>
      <c r="F6" s="7" t="s">
        <v>655</v>
      </c>
      <c r="G6" s="7" t="s">
        <v>655</v>
      </c>
      <c r="H6" s="7" t="s">
        <v>655</v>
      </c>
    </row>
    <row r="7" spans="2:8" ht="60" customHeight="1">
      <c r="B7" t="s">
        <v>155</v>
      </c>
      <c r="C7" t="s">
        <v>156</v>
      </c>
      <c r="D7" s="7" t="s">
        <v>654</v>
      </c>
      <c r="E7" s="7" t="s">
        <v>655</v>
      </c>
      <c r="F7" s="7" t="s">
        <v>655</v>
      </c>
      <c r="G7" s="7" t="s">
        <v>655</v>
      </c>
      <c r="H7" s="7" t="s">
        <v>655</v>
      </c>
    </row>
    <row r="8" spans="2:8" ht="60" customHeight="1">
      <c r="B8" t="s">
        <v>160</v>
      </c>
      <c r="C8" t="s">
        <v>161</v>
      </c>
      <c r="D8" s="7" t="s">
        <v>654</v>
      </c>
      <c r="E8" s="7" t="s">
        <v>655</v>
      </c>
      <c r="F8" s="7" t="s">
        <v>655</v>
      </c>
      <c r="G8" s="7" t="s">
        <v>655</v>
      </c>
      <c r="H8" s="7" t="s">
        <v>655</v>
      </c>
    </row>
    <row r="9" spans="2:8" ht="60" customHeight="1">
      <c r="B9" t="s">
        <v>166</v>
      </c>
      <c r="C9" t="s">
        <v>167</v>
      </c>
      <c r="D9" s="7" t="s">
        <v>654</v>
      </c>
      <c r="E9" s="7" t="s">
        <v>655</v>
      </c>
      <c r="F9" s="7" t="s">
        <v>655</v>
      </c>
      <c r="G9" s="7" t="s">
        <v>655</v>
      </c>
      <c r="H9" s="7" t="s">
        <v>655</v>
      </c>
    </row>
    <row r="10" spans="2:8" ht="60" customHeight="1">
      <c r="B10" t="s">
        <v>171</v>
      </c>
      <c r="C10" t="s">
        <v>172</v>
      </c>
      <c r="D10" s="7" t="s">
        <v>654</v>
      </c>
      <c r="E10" s="7" t="s">
        <v>655</v>
      </c>
      <c r="F10" s="7" t="s">
        <v>655</v>
      </c>
      <c r="G10" s="7" t="s">
        <v>655</v>
      </c>
      <c r="H10" s="7" t="s">
        <v>655</v>
      </c>
    </row>
    <row r="11" spans="2:8" ht="60" customHeight="1">
      <c r="B11" t="s">
        <v>177</v>
      </c>
      <c r="C11" t="s">
        <v>178</v>
      </c>
      <c r="D11" s="7" t="s">
        <v>654</v>
      </c>
      <c r="E11" s="7" t="s">
        <v>655</v>
      </c>
      <c r="F11" s="7" t="s">
        <v>655</v>
      </c>
      <c r="G11" s="7" t="s">
        <v>655</v>
      </c>
      <c r="H11" s="7" t="s">
        <v>655</v>
      </c>
    </row>
    <row r="12" spans="2:8" ht="60" customHeight="1">
      <c r="B12" t="s">
        <v>183</v>
      </c>
      <c r="C12" t="s">
        <v>184</v>
      </c>
      <c r="D12" s="7" t="s">
        <v>654</v>
      </c>
      <c r="E12" s="7" t="s">
        <v>655</v>
      </c>
      <c r="F12" s="7" t="s">
        <v>655</v>
      </c>
      <c r="G12" s="7" t="s">
        <v>655</v>
      </c>
      <c r="H12" s="7" t="s">
        <v>655</v>
      </c>
    </row>
    <row r="13" spans="2:8" ht="60" customHeight="1">
      <c r="B13" t="s">
        <v>189</v>
      </c>
      <c r="C13" t="s">
        <v>190</v>
      </c>
      <c r="D13" s="7" t="s">
        <v>654</v>
      </c>
      <c r="E13" s="7" t="s">
        <v>655</v>
      </c>
      <c r="F13" s="7" t="s">
        <v>655</v>
      </c>
      <c r="G13" s="7" t="s">
        <v>655</v>
      </c>
      <c r="H13" s="7" t="s">
        <v>655</v>
      </c>
    </row>
    <row r="14" spans="2:8" ht="60" customHeight="1">
      <c r="B14" t="s">
        <v>194</v>
      </c>
      <c r="C14" t="s">
        <v>195</v>
      </c>
      <c r="D14" s="7" t="s">
        <v>656</v>
      </c>
      <c r="E14" s="7" t="s">
        <v>657</v>
      </c>
      <c r="F14" s="7" t="s">
        <v>658</v>
      </c>
      <c r="G14" s="7" t="s">
        <v>659</v>
      </c>
      <c r="H14" s="7" t="s">
        <v>660</v>
      </c>
    </row>
    <row r="15" spans="2:8" ht="60" customHeight="1">
      <c r="B15" t="s">
        <v>200</v>
      </c>
      <c r="C15" t="s">
        <v>201</v>
      </c>
      <c r="D15" s="7" t="s">
        <v>661</v>
      </c>
      <c r="E15" s="7" t="s">
        <v>662</v>
      </c>
      <c r="F15" s="7" t="s">
        <v>663</v>
      </c>
      <c r="G15" s="7" t="s">
        <v>664</v>
      </c>
      <c r="H15" s="7" t="s">
        <v>665</v>
      </c>
    </row>
    <row r="16" spans="2:8" ht="60" customHeight="1">
      <c r="B16" t="s">
        <v>208</v>
      </c>
      <c r="C16" t="s">
        <v>209</v>
      </c>
      <c r="D16" s="7" t="s">
        <v>661</v>
      </c>
      <c r="E16" s="7" t="s">
        <v>662</v>
      </c>
      <c r="F16" s="7" t="s">
        <v>663</v>
      </c>
      <c r="G16" s="7" t="s">
        <v>664</v>
      </c>
      <c r="H16" s="7" t="s">
        <v>665</v>
      </c>
    </row>
    <row r="17" spans="2:8" ht="60" customHeight="1">
      <c r="B17" t="s">
        <v>211</v>
      </c>
      <c r="C17" t="s">
        <v>212</v>
      </c>
      <c r="D17" s="7" t="s">
        <v>661</v>
      </c>
      <c r="E17" s="7" t="s">
        <v>662</v>
      </c>
      <c r="F17" s="7" t="s">
        <v>666</v>
      </c>
      <c r="G17" s="7" t="s">
        <v>667</v>
      </c>
      <c r="H17" s="7" t="s">
        <v>668</v>
      </c>
    </row>
    <row r="18" spans="2:8" ht="60" customHeight="1">
      <c r="B18" t="s">
        <v>214</v>
      </c>
      <c r="C18" t="s">
        <v>215</v>
      </c>
      <c r="D18" s="7" t="s">
        <v>661</v>
      </c>
      <c r="E18" s="7" t="s">
        <v>662</v>
      </c>
      <c r="F18" s="7" t="s">
        <v>663</v>
      </c>
      <c r="G18" s="7" t="s">
        <v>664</v>
      </c>
      <c r="H18" s="7" t="s">
        <v>665</v>
      </c>
    </row>
    <row r="19" spans="2:8" ht="60" customHeight="1">
      <c r="B19" t="s">
        <v>219</v>
      </c>
      <c r="C19" t="s">
        <v>220</v>
      </c>
      <c r="D19" s="7" t="s">
        <v>669</v>
      </c>
      <c r="E19" s="7" t="s">
        <v>670</v>
      </c>
      <c r="F19" s="7" t="s">
        <v>671</v>
      </c>
      <c r="G19" s="7" t="s">
        <v>672</v>
      </c>
      <c r="H19" s="7" t="s">
        <v>673</v>
      </c>
    </row>
    <row r="20" spans="2:8" ht="60" customHeight="1">
      <c r="B20" t="s">
        <v>225</v>
      </c>
      <c r="C20" t="s">
        <v>226</v>
      </c>
      <c r="D20" s="7" t="s">
        <v>661</v>
      </c>
      <c r="E20" s="7" t="s">
        <v>662</v>
      </c>
      <c r="F20" s="7" t="s">
        <v>663</v>
      </c>
      <c r="G20" s="7" t="s">
        <v>664</v>
      </c>
      <c r="H20" s="7" t="s">
        <v>665</v>
      </c>
    </row>
    <row r="21" spans="2:8" ht="60" customHeight="1">
      <c r="B21" t="s">
        <v>230</v>
      </c>
      <c r="C21" t="s">
        <v>231</v>
      </c>
      <c r="D21" s="7" t="s">
        <v>661</v>
      </c>
      <c r="E21" s="7" t="s">
        <v>662</v>
      </c>
      <c r="F21" s="7" t="s">
        <v>663</v>
      </c>
      <c r="G21" s="7" t="s">
        <v>664</v>
      </c>
      <c r="H21" s="7" t="s">
        <v>665</v>
      </c>
    </row>
    <row r="22" spans="2:8" ht="60" customHeight="1">
      <c r="B22" t="s">
        <v>235</v>
      </c>
      <c r="C22" t="s">
        <v>236</v>
      </c>
      <c r="D22" s="7" t="s">
        <v>669</v>
      </c>
      <c r="E22" s="7" t="s">
        <v>670</v>
      </c>
      <c r="F22" s="7" t="s">
        <v>671</v>
      </c>
      <c r="G22" s="7" t="s">
        <v>672</v>
      </c>
      <c r="H22" s="7" t="s">
        <v>673</v>
      </c>
    </row>
    <row r="23" spans="2:8" ht="60" customHeight="1">
      <c r="B23" t="s">
        <v>239</v>
      </c>
      <c r="C23" t="s">
        <v>240</v>
      </c>
      <c r="D23" s="7" t="s">
        <v>661</v>
      </c>
      <c r="E23" s="7" t="s">
        <v>662</v>
      </c>
      <c r="F23" s="7" t="s">
        <v>663</v>
      </c>
      <c r="G23" s="7" t="s">
        <v>664</v>
      </c>
      <c r="H23" s="7" t="s">
        <v>665</v>
      </c>
    </row>
    <row r="24" spans="2:8" ht="60" customHeight="1">
      <c r="B24" t="s">
        <v>244</v>
      </c>
      <c r="C24" t="s">
        <v>245</v>
      </c>
      <c r="D24" s="7" t="s">
        <v>674</v>
      </c>
      <c r="E24" s="7" t="s">
        <v>675</v>
      </c>
      <c r="F24" s="7" t="s">
        <v>676</v>
      </c>
      <c r="G24" s="7" t="s">
        <v>677</v>
      </c>
      <c r="H24" s="7" t="s">
        <v>678</v>
      </c>
    </row>
    <row r="25" spans="2:8" ht="60" customHeight="1">
      <c r="B25" t="s">
        <v>249</v>
      </c>
      <c r="C25" t="s">
        <v>250</v>
      </c>
      <c r="D25" s="7" t="s">
        <v>679</v>
      </c>
      <c r="E25" s="7" t="s">
        <v>680</v>
      </c>
      <c r="F25" s="7" t="s">
        <v>681</v>
      </c>
      <c r="G25" s="7" t="s">
        <v>682</v>
      </c>
      <c r="H25" s="7" t="s">
        <v>683</v>
      </c>
    </row>
    <row r="26" spans="2:8" ht="60" customHeight="1">
      <c r="B26" t="s">
        <v>253</v>
      </c>
      <c r="C26" t="s">
        <v>254</v>
      </c>
      <c r="D26" s="7" t="s">
        <v>684</v>
      </c>
      <c r="E26" s="7" t="s">
        <v>685</v>
      </c>
      <c r="F26" s="7" t="s">
        <v>686</v>
      </c>
      <c r="G26" s="7" t="s">
        <v>687</v>
      </c>
      <c r="H26" s="7" t="s">
        <v>688</v>
      </c>
    </row>
    <row r="27" spans="2:8" ht="60" customHeight="1">
      <c r="B27" t="s">
        <v>258</v>
      </c>
      <c r="C27" t="s">
        <v>259</v>
      </c>
      <c r="D27" s="7" t="s">
        <v>661</v>
      </c>
      <c r="E27" s="7" t="s">
        <v>662</v>
      </c>
      <c r="F27" s="7" t="s">
        <v>663</v>
      </c>
      <c r="G27" s="7" t="s">
        <v>664</v>
      </c>
      <c r="H27" s="7" t="s">
        <v>665</v>
      </c>
    </row>
    <row r="28" spans="2:8" ht="60" customHeight="1">
      <c r="B28" t="s">
        <v>263</v>
      </c>
      <c r="C28" t="s">
        <v>264</v>
      </c>
      <c r="D28" s="7" t="s">
        <v>689</v>
      </c>
      <c r="E28" s="7" t="s">
        <v>690</v>
      </c>
      <c r="F28" s="7" t="s">
        <v>691</v>
      </c>
      <c r="G28" s="7" t="s">
        <v>692</v>
      </c>
      <c r="H28" s="7" t="s">
        <v>693</v>
      </c>
    </row>
    <row r="29" spans="2:8" ht="60" customHeight="1">
      <c r="B29" t="s">
        <v>268</v>
      </c>
      <c r="C29" t="s">
        <v>269</v>
      </c>
      <c r="D29" s="7" t="s">
        <v>694</v>
      </c>
      <c r="E29" s="7" t="s">
        <v>695</v>
      </c>
      <c r="F29" s="7" t="s">
        <v>696</v>
      </c>
      <c r="G29" s="7" t="s">
        <v>697</v>
      </c>
      <c r="H29" s="7" t="s">
        <v>698</v>
      </c>
    </row>
    <row r="30" spans="2:8" ht="60" customHeight="1">
      <c r="B30" t="s">
        <v>273</v>
      </c>
      <c r="C30" t="s">
        <v>274</v>
      </c>
      <c r="D30" s="7" t="s">
        <v>699</v>
      </c>
      <c r="E30" s="7" t="s">
        <v>700</v>
      </c>
      <c r="F30" s="7" t="s">
        <v>701</v>
      </c>
      <c r="G30" s="7" t="s">
        <v>702</v>
      </c>
      <c r="H30" s="7" t="s">
        <v>703</v>
      </c>
    </row>
    <row r="31" spans="2:8" ht="60" customHeight="1">
      <c r="B31" t="s">
        <v>277</v>
      </c>
      <c r="C31" t="s">
        <v>278</v>
      </c>
      <c r="D31" s="7" t="s">
        <v>704</v>
      </c>
      <c r="E31" s="7" t="s">
        <v>705</v>
      </c>
      <c r="F31" s="7" t="s">
        <v>706</v>
      </c>
      <c r="G31" s="7" t="s">
        <v>707</v>
      </c>
      <c r="H31" s="7" t="s">
        <v>708</v>
      </c>
    </row>
    <row r="32" spans="2:8" ht="60" customHeight="1">
      <c r="B32" t="s">
        <v>282</v>
      </c>
      <c r="C32" t="s">
        <v>283</v>
      </c>
      <c r="D32" s="7" t="s">
        <v>709</v>
      </c>
      <c r="E32" s="7" t="s">
        <v>710</v>
      </c>
      <c r="F32" s="7" t="s">
        <v>711</v>
      </c>
      <c r="G32" s="7" t="s">
        <v>712</v>
      </c>
      <c r="H32" s="7" t="s">
        <v>713</v>
      </c>
    </row>
    <row r="33" spans="2:8" ht="60" customHeight="1">
      <c r="B33" t="s">
        <v>286</v>
      </c>
      <c r="C33" t="s">
        <v>287</v>
      </c>
      <c r="D33" s="7" t="s">
        <v>714</v>
      </c>
      <c r="E33" s="7" t="s">
        <v>715</v>
      </c>
      <c r="F33" s="7" t="s">
        <v>716</v>
      </c>
      <c r="G33" s="7" t="s">
        <v>717</v>
      </c>
      <c r="H33" s="7" t="s">
        <v>718</v>
      </c>
    </row>
    <row r="34" spans="2:8" ht="60" customHeight="1">
      <c r="B34" t="s">
        <v>289</v>
      </c>
      <c r="C34" t="s">
        <v>290</v>
      </c>
      <c r="D34" s="7" t="s">
        <v>661</v>
      </c>
      <c r="E34" s="7" t="s">
        <v>662</v>
      </c>
      <c r="F34" s="7" t="s">
        <v>663</v>
      </c>
      <c r="G34" s="7" t="s">
        <v>664</v>
      </c>
      <c r="H34" s="7" t="s">
        <v>665</v>
      </c>
    </row>
    <row r="35" spans="2:8" ht="60" customHeight="1">
      <c r="B35" t="s">
        <v>295</v>
      </c>
      <c r="C35" t="s">
        <v>296</v>
      </c>
      <c r="D35" s="7" t="s">
        <v>719</v>
      </c>
      <c r="E35" s="7" t="s">
        <v>720</v>
      </c>
      <c r="F35" s="7" t="s">
        <v>721</v>
      </c>
      <c r="G35" s="7" t="s">
        <v>722</v>
      </c>
      <c r="H35" s="7" t="s">
        <v>723</v>
      </c>
    </row>
    <row r="36" spans="2:8" ht="60" customHeight="1">
      <c r="B36" t="s">
        <v>300</v>
      </c>
      <c r="C36" t="s">
        <v>301</v>
      </c>
      <c r="D36" s="7" t="s">
        <v>724</v>
      </c>
      <c r="E36" s="7" t="s">
        <v>725</v>
      </c>
      <c r="F36" s="7" t="s">
        <v>726</v>
      </c>
      <c r="G36" s="7" t="s">
        <v>727</v>
      </c>
      <c r="H36" s="7" t="s">
        <v>728</v>
      </c>
    </row>
    <row r="37" spans="2:8" ht="60" customHeight="1">
      <c r="B37" t="s">
        <v>303</v>
      </c>
      <c r="C37" t="s">
        <v>304</v>
      </c>
      <c r="D37" s="7" t="s">
        <v>729</v>
      </c>
      <c r="E37" s="7" t="s">
        <v>730</v>
      </c>
      <c r="F37" s="7" t="s">
        <v>731</v>
      </c>
      <c r="G37" s="7" t="s">
        <v>732</v>
      </c>
      <c r="H37" s="7" t="s">
        <v>733</v>
      </c>
    </row>
    <row r="38" spans="2:8" ht="60" customHeight="1">
      <c r="B38" t="s">
        <v>307</v>
      </c>
      <c r="C38" t="s">
        <v>308</v>
      </c>
      <c r="D38" s="7" t="s">
        <v>661</v>
      </c>
      <c r="E38" s="7" t="s">
        <v>662</v>
      </c>
      <c r="F38" s="7" t="s">
        <v>663</v>
      </c>
      <c r="G38" s="7" t="s">
        <v>664</v>
      </c>
      <c r="H38" s="7" t="s">
        <v>734</v>
      </c>
    </row>
    <row r="39" spans="2:8" ht="60" customHeight="1">
      <c r="B39" t="s">
        <v>311</v>
      </c>
      <c r="C39" t="s">
        <v>312</v>
      </c>
      <c r="D39" s="7" t="s">
        <v>735</v>
      </c>
      <c r="E39" s="7" t="s">
        <v>736</v>
      </c>
      <c r="F39" s="7" t="s">
        <v>737</v>
      </c>
      <c r="G39" s="7" t="s">
        <v>738</v>
      </c>
      <c r="H39" s="7" t="s">
        <v>739</v>
      </c>
    </row>
    <row r="40" spans="2:8" ht="60" customHeight="1">
      <c r="B40" t="s">
        <v>316</v>
      </c>
      <c r="C40" t="s">
        <v>317</v>
      </c>
      <c r="D40" s="7" t="s">
        <v>684</v>
      </c>
      <c r="E40" s="7" t="s">
        <v>685</v>
      </c>
      <c r="F40" s="7" t="s">
        <v>686</v>
      </c>
      <c r="G40" s="7" t="s">
        <v>687</v>
      </c>
      <c r="H40" s="7" t="s">
        <v>688</v>
      </c>
    </row>
    <row r="41" spans="2:8" ht="60" customHeight="1">
      <c r="B41" t="s">
        <v>321</v>
      </c>
      <c r="C41" t="s">
        <v>322</v>
      </c>
      <c r="D41" s="7" t="s">
        <v>661</v>
      </c>
      <c r="E41" s="7" t="s">
        <v>662</v>
      </c>
      <c r="F41" s="7" t="s">
        <v>663</v>
      </c>
      <c r="G41" s="7" t="s">
        <v>664</v>
      </c>
      <c r="H41" s="7" t="s">
        <v>665</v>
      </c>
    </row>
    <row r="42" spans="2:8" ht="60" customHeight="1">
      <c r="B42" t="s">
        <v>326</v>
      </c>
      <c r="C42" t="s">
        <v>327</v>
      </c>
      <c r="D42" s="7" t="s">
        <v>740</v>
      </c>
      <c r="E42" s="7" t="s">
        <v>741</v>
      </c>
      <c r="F42" s="7" t="s">
        <v>742</v>
      </c>
      <c r="G42" s="7" t="s">
        <v>743</v>
      </c>
      <c r="H42" s="7" t="s">
        <v>744</v>
      </c>
    </row>
    <row r="43" spans="2:8" ht="60" customHeight="1">
      <c r="B43" t="s">
        <v>330</v>
      </c>
      <c r="C43" t="s">
        <v>331</v>
      </c>
      <c r="D43" s="7" t="s">
        <v>745</v>
      </c>
      <c r="E43" s="7" t="s">
        <v>746</v>
      </c>
      <c r="F43" s="7" t="s">
        <v>747</v>
      </c>
      <c r="G43" s="7" t="s">
        <v>748</v>
      </c>
      <c r="H43" s="7" t="s">
        <v>749</v>
      </c>
    </row>
    <row r="44" spans="2:8" ht="60" customHeight="1">
      <c r="B44" t="s">
        <v>333</v>
      </c>
      <c r="C44" t="s">
        <v>334</v>
      </c>
      <c r="D44" s="7" t="s">
        <v>750</v>
      </c>
      <c r="E44" s="7" t="s">
        <v>751</v>
      </c>
      <c r="F44" s="7" t="s">
        <v>752</v>
      </c>
      <c r="G44" s="7" t="s">
        <v>753</v>
      </c>
      <c r="H44" s="7" t="s">
        <v>754</v>
      </c>
    </row>
    <row r="45" spans="2:8" ht="60" customHeight="1">
      <c r="B45" t="s">
        <v>338</v>
      </c>
      <c r="C45" t="s">
        <v>339</v>
      </c>
      <c r="D45" s="7" t="s">
        <v>661</v>
      </c>
      <c r="E45" s="7" t="s">
        <v>662</v>
      </c>
      <c r="F45" s="7" t="s">
        <v>663</v>
      </c>
      <c r="G45" s="7" t="s">
        <v>664</v>
      </c>
      <c r="H45" s="7" t="s">
        <v>665</v>
      </c>
    </row>
    <row r="46" spans="2:8" ht="60" customHeight="1">
      <c r="B46" t="s">
        <v>343</v>
      </c>
      <c r="C46" t="s">
        <v>344</v>
      </c>
      <c r="D46" s="7" t="s">
        <v>755</v>
      </c>
      <c r="E46" s="7" t="s">
        <v>756</v>
      </c>
      <c r="F46" s="7" t="s">
        <v>757</v>
      </c>
      <c r="G46" s="7" t="s">
        <v>758</v>
      </c>
      <c r="H46" s="7" t="s">
        <v>759</v>
      </c>
    </row>
    <row r="47" spans="2:8" ht="60" customHeight="1">
      <c r="B47" t="s">
        <v>347</v>
      </c>
      <c r="C47" t="s">
        <v>348</v>
      </c>
      <c r="D47" s="7" t="s">
        <v>760</v>
      </c>
      <c r="E47" s="7" t="s">
        <v>761</v>
      </c>
      <c r="F47" s="7" t="s">
        <v>762</v>
      </c>
      <c r="G47" s="7" t="s">
        <v>763</v>
      </c>
      <c r="H47" s="7" t="s">
        <v>764</v>
      </c>
    </row>
    <row r="48" spans="2:8" ht="60" customHeight="1">
      <c r="B48" t="s">
        <v>351</v>
      </c>
      <c r="C48" t="s">
        <v>352</v>
      </c>
      <c r="D48" s="7" t="s">
        <v>765</v>
      </c>
      <c r="E48" s="7" t="s">
        <v>766</v>
      </c>
      <c r="F48" s="7" t="s">
        <v>767</v>
      </c>
      <c r="G48" s="7" t="s">
        <v>768</v>
      </c>
      <c r="H48" s="7" t="s">
        <v>769</v>
      </c>
    </row>
    <row r="49" spans="2:8" ht="60" customHeight="1">
      <c r="B49" t="s">
        <v>355</v>
      </c>
      <c r="C49" t="s">
        <v>356</v>
      </c>
      <c r="D49" s="7" t="s">
        <v>770</v>
      </c>
      <c r="E49" s="7" t="s">
        <v>771</v>
      </c>
      <c r="F49" s="7" t="s">
        <v>772</v>
      </c>
      <c r="G49" s="7" t="s">
        <v>773</v>
      </c>
      <c r="H49" s="7" t="s">
        <v>774</v>
      </c>
    </row>
    <row r="50" spans="2:8" ht="60" customHeight="1">
      <c r="B50" t="s">
        <v>358</v>
      </c>
      <c r="C50" t="s">
        <v>359</v>
      </c>
      <c r="D50" s="7" t="s">
        <v>775</v>
      </c>
      <c r="E50" s="7" t="s">
        <v>776</v>
      </c>
      <c r="F50" s="7" t="s">
        <v>777</v>
      </c>
      <c r="G50" s="7" t="s">
        <v>778</v>
      </c>
      <c r="H50" s="7" t="s">
        <v>779</v>
      </c>
    </row>
    <row r="51" spans="2:8" ht="60" customHeight="1">
      <c r="B51" t="s">
        <v>363</v>
      </c>
      <c r="C51" t="s">
        <v>364</v>
      </c>
      <c r="D51" s="7" t="s">
        <v>780</v>
      </c>
      <c r="E51" s="7" t="s">
        <v>781</v>
      </c>
      <c r="F51" s="7" t="s">
        <v>782</v>
      </c>
      <c r="G51" s="7" t="s">
        <v>783</v>
      </c>
      <c r="H51" s="7" t="s">
        <v>784</v>
      </c>
    </row>
    <row r="52" spans="2:8" ht="60" customHeight="1">
      <c r="B52" t="s">
        <v>368</v>
      </c>
      <c r="C52" t="s">
        <v>369</v>
      </c>
      <c r="D52" s="7" t="s">
        <v>785</v>
      </c>
      <c r="E52" s="7" t="s">
        <v>786</v>
      </c>
      <c r="F52" s="7" t="s">
        <v>787</v>
      </c>
      <c r="G52" s="7" t="s">
        <v>788</v>
      </c>
      <c r="H52" s="7" t="s">
        <v>789</v>
      </c>
    </row>
    <row r="53" spans="2:8" ht="60" customHeight="1">
      <c r="B53" t="s">
        <v>373</v>
      </c>
      <c r="C53" t="s">
        <v>374</v>
      </c>
      <c r="D53" s="7" t="s">
        <v>790</v>
      </c>
      <c r="E53" s="7" t="s">
        <v>791</v>
      </c>
      <c r="F53" s="7" t="s">
        <v>792</v>
      </c>
      <c r="G53" s="7" t="s">
        <v>793</v>
      </c>
      <c r="H53" s="7" t="s">
        <v>794</v>
      </c>
    </row>
    <row r="54" spans="2:8" ht="60" customHeight="1">
      <c r="B54" t="s">
        <v>378</v>
      </c>
      <c r="C54" t="s">
        <v>379</v>
      </c>
      <c r="D54" s="7" t="s">
        <v>795</v>
      </c>
      <c r="E54" s="7" t="s">
        <v>796</v>
      </c>
      <c r="F54" s="7" t="s">
        <v>797</v>
      </c>
      <c r="G54" s="7" t="s">
        <v>798</v>
      </c>
      <c r="H54" s="7" t="s">
        <v>799</v>
      </c>
    </row>
    <row r="55" spans="2:8" ht="60" customHeight="1">
      <c r="B55" t="s">
        <v>383</v>
      </c>
      <c r="C55" t="s">
        <v>384</v>
      </c>
      <c r="D55" s="7" t="s">
        <v>795</v>
      </c>
      <c r="E55" s="7" t="s">
        <v>677</v>
      </c>
      <c r="F55" s="7" t="s">
        <v>800</v>
      </c>
      <c r="G55" s="7" t="s">
        <v>801</v>
      </c>
      <c r="H55" s="7" t="s">
        <v>802</v>
      </c>
    </row>
    <row r="56" spans="2:8" ht="60" customHeight="1">
      <c r="B56" t="s">
        <v>389</v>
      </c>
      <c r="C56" t="s">
        <v>390</v>
      </c>
      <c r="D56" s="7" t="s">
        <v>795</v>
      </c>
      <c r="E56" s="7" t="s">
        <v>677</v>
      </c>
      <c r="F56" s="7" t="s">
        <v>800</v>
      </c>
      <c r="G56" s="7" t="s">
        <v>801</v>
      </c>
      <c r="H56" s="7" t="s">
        <v>802</v>
      </c>
    </row>
    <row r="57" spans="2:8" ht="60" customHeight="1">
      <c r="B57" t="s">
        <v>394</v>
      </c>
      <c r="C57" t="s">
        <v>395</v>
      </c>
      <c r="D57" s="7" t="s">
        <v>803</v>
      </c>
      <c r="E57" s="7" t="s">
        <v>804</v>
      </c>
      <c r="F57" s="7" t="s">
        <v>805</v>
      </c>
      <c r="G57" s="7" t="s">
        <v>806</v>
      </c>
      <c r="H57" s="7" t="s">
        <v>807</v>
      </c>
    </row>
    <row r="58" spans="2:8" ht="60" customHeight="1">
      <c r="B58" t="s">
        <v>399</v>
      </c>
      <c r="C58" t="s">
        <v>400</v>
      </c>
      <c r="D58" s="7" t="s">
        <v>808</v>
      </c>
      <c r="E58" s="7" t="s">
        <v>809</v>
      </c>
      <c r="F58" s="7" t="s">
        <v>810</v>
      </c>
      <c r="G58" s="7" t="s">
        <v>811</v>
      </c>
      <c r="H58" s="7" t="s">
        <v>812</v>
      </c>
    </row>
    <row r="59" spans="2:8" ht="60" customHeight="1">
      <c r="B59" t="s">
        <v>404</v>
      </c>
      <c r="C59" t="s">
        <v>405</v>
      </c>
      <c r="D59" s="7" t="s">
        <v>813</v>
      </c>
      <c r="E59" s="7" t="s">
        <v>814</v>
      </c>
      <c r="F59" s="7" t="s">
        <v>815</v>
      </c>
      <c r="G59" s="7" t="s">
        <v>816</v>
      </c>
      <c r="H59" s="7" t="s">
        <v>817</v>
      </c>
    </row>
    <row r="60" spans="2:8" ht="60" customHeight="1">
      <c r="B60" t="s">
        <v>407</v>
      </c>
      <c r="C60" t="s">
        <v>408</v>
      </c>
      <c r="D60" s="7" t="s">
        <v>818</v>
      </c>
      <c r="E60" s="7" t="s">
        <v>819</v>
      </c>
      <c r="F60" s="7" t="s">
        <v>820</v>
      </c>
      <c r="G60" s="7" t="s">
        <v>821</v>
      </c>
      <c r="H60" s="7" t="s">
        <v>822</v>
      </c>
    </row>
    <row r="61" spans="2:8" ht="60" customHeight="1">
      <c r="B61" t="s">
        <v>411</v>
      </c>
      <c r="C61" t="s">
        <v>412</v>
      </c>
      <c r="D61" s="7" t="s">
        <v>674</v>
      </c>
      <c r="E61" s="7" t="s">
        <v>675</v>
      </c>
      <c r="F61" s="7" t="s">
        <v>676</v>
      </c>
      <c r="G61" s="7" t="s">
        <v>796</v>
      </c>
      <c r="H61" s="7" t="s">
        <v>823</v>
      </c>
    </row>
    <row r="62" spans="2:8" ht="60" customHeight="1">
      <c r="B62" t="s">
        <v>417</v>
      </c>
      <c r="C62" t="s">
        <v>418</v>
      </c>
      <c r="D62" s="7" t="s">
        <v>824</v>
      </c>
      <c r="E62" s="7" t="s">
        <v>825</v>
      </c>
      <c r="F62" s="7" t="s">
        <v>826</v>
      </c>
      <c r="G62" s="7" t="s">
        <v>827</v>
      </c>
      <c r="H62" s="7" t="s">
        <v>828</v>
      </c>
    </row>
    <row r="63" spans="2:8" ht="60" customHeight="1">
      <c r="B63" t="s">
        <v>421</v>
      </c>
      <c r="C63" t="s">
        <v>422</v>
      </c>
      <c r="D63" s="7" t="s">
        <v>661</v>
      </c>
      <c r="E63" s="7" t="s">
        <v>829</v>
      </c>
      <c r="F63" s="7" t="s">
        <v>830</v>
      </c>
      <c r="G63" s="7" t="s">
        <v>831</v>
      </c>
      <c r="H63" s="7" t="s">
        <v>832</v>
      </c>
    </row>
    <row r="64" spans="2:8" ht="60" customHeight="1">
      <c r="B64" t="s">
        <v>426</v>
      </c>
      <c r="C64" t="s">
        <v>427</v>
      </c>
      <c r="D64" s="7" t="s">
        <v>795</v>
      </c>
      <c r="E64" s="7" t="s">
        <v>677</v>
      </c>
      <c r="F64" s="7" t="s">
        <v>833</v>
      </c>
      <c r="G64" s="7" t="s">
        <v>834</v>
      </c>
      <c r="H64" s="7" t="s">
        <v>835</v>
      </c>
    </row>
    <row r="65" spans="2:8" ht="60" customHeight="1">
      <c r="B65" t="s">
        <v>429</v>
      </c>
      <c r="C65" t="s">
        <v>430</v>
      </c>
      <c r="D65" s="7" t="s">
        <v>836</v>
      </c>
      <c r="E65" s="7" t="s">
        <v>837</v>
      </c>
      <c r="F65" s="7" t="s">
        <v>830</v>
      </c>
      <c r="G65" s="7" t="s">
        <v>838</v>
      </c>
      <c r="H65" s="7" t="s">
        <v>839</v>
      </c>
    </row>
    <row r="66" spans="2:8" ht="60" customHeight="1">
      <c r="B66" t="s">
        <v>434</v>
      </c>
      <c r="C66" t="s">
        <v>435</v>
      </c>
      <c r="D66" s="7" t="s">
        <v>840</v>
      </c>
      <c r="E66" s="7" t="s">
        <v>841</v>
      </c>
      <c r="F66" s="7" t="s">
        <v>842</v>
      </c>
      <c r="G66" s="7" t="s">
        <v>843</v>
      </c>
      <c r="H66" s="7" t="s">
        <v>844</v>
      </c>
    </row>
    <row r="67" spans="2:8" ht="60" customHeight="1">
      <c r="B67" t="s">
        <v>439</v>
      </c>
      <c r="C67" t="s">
        <v>440</v>
      </c>
      <c r="D67" s="7" t="s">
        <v>845</v>
      </c>
      <c r="E67" s="7" t="s">
        <v>846</v>
      </c>
      <c r="F67" s="7" t="s">
        <v>847</v>
      </c>
      <c r="G67" s="7" t="s">
        <v>848</v>
      </c>
      <c r="H67" s="7" t="s">
        <v>802</v>
      </c>
    </row>
    <row r="68" spans="2:8" ht="60" customHeight="1">
      <c r="B68" t="s">
        <v>444</v>
      </c>
      <c r="C68" t="s">
        <v>445</v>
      </c>
      <c r="D68" s="7" t="s">
        <v>849</v>
      </c>
      <c r="E68" s="7" t="s">
        <v>850</v>
      </c>
      <c r="F68" s="7" t="s">
        <v>851</v>
      </c>
      <c r="G68" s="7" t="s">
        <v>852</v>
      </c>
      <c r="H68" s="7" t="s">
        <v>853</v>
      </c>
    </row>
    <row r="69" spans="2:8" ht="60" customHeight="1">
      <c r="B69" t="s">
        <v>450</v>
      </c>
      <c r="C69" t="s">
        <v>451</v>
      </c>
      <c r="D69" s="7" t="s">
        <v>854</v>
      </c>
      <c r="E69" s="7" t="s">
        <v>855</v>
      </c>
      <c r="F69" s="7" t="s">
        <v>856</v>
      </c>
      <c r="G69" s="7" t="s">
        <v>857</v>
      </c>
      <c r="H69" s="7" t="s">
        <v>858</v>
      </c>
    </row>
    <row r="70" spans="2:8" ht="60" customHeight="1">
      <c r="B70" t="s">
        <v>456</v>
      </c>
      <c r="C70" t="s">
        <v>457</v>
      </c>
      <c r="D70" s="7" t="s">
        <v>859</v>
      </c>
      <c r="E70" s="7" t="s">
        <v>860</v>
      </c>
      <c r="F70" s="7" t="s">
        <v>861</v>
      </c>
      <c r="G70" s="7" t="s">
        <v>862</v>
      </c>
      <c r="H70" s="7" t="s">
        <v>863</v>
      </c>
    </row>
    <row r="71" spans="2:8" ht="60" customHeight="1">
      <c r="B71" t="s">
        <v>461</v>
      </c>
      <c r="C71" t="s">
        <v>462</v>
      </c>
      <c r="D71" s="7" t="s">
        <v>864</v>
      </c>
      <c r="E71" s="7" t="s">
        <v>865</v>
      </c>
      <c r="F71" s="7" t="s">
        <v>866</v>
      </c>
      <c r="G71" s="7" t="s">
        <v>867</v>
      </c>
      <c r="H71" s="7" t="s">
        <v>832</v>
      </c>
    </row>
    <row r="72" spans="2:8" ht="60" customHeight="1">
      <c r="B72" t="s">
        <v>465</v>
      </c>
      <c r="C72" t="s">
        <v>466</v>
      </c>
      <c r="D72" s="7" t="s">
        <v>868</v>
      </c>
      <c r="E72" s="7" t="s">
        <v>869</v>
      </c>
      <c r="F72" s="7" t="s">
        <v>870</v>
      </c>
      <c r="G72" s="7" t="s">
        <v>871</v>
      </c>
      <c r="H72" s="7" t="s">
        <v>872</v>
      </c>
    </row>
    <row r="73" spans="2:8" ht="60" customHeight="1">
      <c r="B73" t="s">
        <v>470</v>
      </c>
      <c r="C73" t="s">
        <v>471</v>
      </c>
      <c r="D73" s="7" t="s">
        <v>873</v>
      </c>
      <c r="E73" s="7" t="s">
        <v>874</v>
      </c>
      <c r="F73" s="7" t="s">
        <v>875</v>
      </c>
      <c r="G73" s="7" t="s">
        <v>876</v>
      </c>
      <c r="H73" s="7" t="s">
        <v>877</v>
      </c>
    </row>
    <row r="74" spans="2:8" ht="60" customHeight="1">
      <c r="B74" t="s">
        <v>475</v>
      </c>
      <c r="C74" t="s">
        <v>476</v>
      </c>
      <c r="D74" s="7" t="s">
        <v>878</v>
      </c>
      <c r="E74" s="7" t="s">
        <v>879</v>
      </c>
      <c r="F74" s="7" t="s">
        <v>880</v>
      </c>
      <c r="G74" s="7" t="s">
        <v>881</v>
      </c>
      <c r="H74" s="7" t="s">
        <v>882</v>
      </c>
    </row>
    <row r="75" spans="2:8" ht="60" customHeight="1">
      <c r="B75" t="s">
        <v>480</v>
      </c>
      <c r="C75" t="s">
        <v>481</v>
      </c>
      <c r="D75" s="7" t="s">
        <v>883</v>
      </c>
      <c r="E75" s="7" t="s">
        <v>884</v>
      </c>
      <c r="F75" s="7" t="s">
        <v>885</v>
      </c>
      <c r="G75" s="7" t="s">
        <v>886</v>
      </c>
      <c r="H75" s="7" t="s">
        <v>887</v>
      </c>
    </row>
    <row r="76" spans="2:8" ht="60" customHeight="1">
      <c r="B76" t="s">
        <v>485</v>
      </c>
      <c r="C76" t="s">
        <v>486</v>
      </c>
      <c r="D76" s="7" t="s">
        <v>888</v>
      </c>
      <c r="E76" s="7" t="s">
        <v>889</v>
      </c>
      <c r="F76" s="7" t="s">
        <v>890</v>
      </c>
      <c r="G76" s="7" t="s">
        <v>891</v>
      </c>
      <c r="H76" s="7" t="s">
        <v>892</v>
      </c>
    </row>
    <row r="77" spans="2:8" ht="60" customHeight="1">
      <c r="B77" t="s">
        <v>490</v>
      </c>
      <c r="C77" t="s">
        <v>491</v>
      </c>
      <c r="D77" s="7" t="s">
        <v>795</v>
      </c>
      <c r="E77" s="7" t="s">
        <v>677</v>
      </c>
      <c r="F77" s="7" t="s">
        <v>800</v>
      </c>
      <c r="G77" s="7" t="s">
        <v>801</v>
      </c>
      <c r="H77" s="7" t="s">
        <v>802</v>
      </c>
    </row>
    <row r="78" spans="2:8" ht="60" customHeight="1">
      <c r="B78" t="s">
        <v>494</v>
      </c>
      <c r="C78" t="s">
        <v>495</v>
      </c>
      <c r="D78" s="7" t="s">
        <v>893</v>
      </c>
      <c r="E78" s="7" t="s">
        <v>894</v>
      </c>
      <c r="F78" s="7" t="s">
        <v>895</v>
      </c>
      <c r="G78" s="7" t="s">
        <v>896</v>
      </c>
      <c r="H78" s="7" t="s">
        <v>897</v>
      </c>
    </row>
    <row r="79" spans="2:8" ht="60" customHeight="1">
      <c r="B79" t="s">
        <v>499</v>
      </c>
      <c r="C79" t="s">
        <v>500</v>
      </c>
      <c r="D79" s="7" t="s">
        <v>898</v>
      </c>
      <c r="E79" s="7" t="s">
        <v>899</v>
      </c>
      <c r="F79" s="7" t="s">
        <v>900</v>
      </c>
      <c r="G79" s="7" t="s">
        <v>901</v>
      </c>
      <c r="H79" s="7" t="s">
        <v>832</v>
      </c>
    </row>
    <row r="80" spans="2:8" ht="60" customHeight="1">
      <c r="B80" t="s">
        <v>504</v>
      </c>
      <c r="C80" t="s">
        <v>505</v>
      </c>
      <c r="D80" s="7" t="s">
        <v>902</v>
      </c>
      <c r="E80" s="7" t="s">
        <v>903</v>
      </c>
      <c r="F80" s="7" t="s">
        <v>904</v>
      </c>
      <c r="G80" s="7" t="s">
        <v>905</v>
      </c>
      <c r="H80" s="7" t="s">
        <v>906</v>
      </c>
    </row>
    <row r="81" spans="2:8" ht="60" customHeight="1">
      <c r="B81" t="s">
        <v>509</v>
      </c>
      <c r="C81" t="s">
        <v>510</v>
      </c>
      <c r="D81" s="7" t="s">
        <v>674</v>
      </c>
      <c r="E81" s="7" t="s">
        <v>907</v>
      </c>
      <c r="F81" s="7" t="s">
        <v>677</v>
      </c>
      <c r="G81" s="7" t="s">
        <v>800</v>
      </c>
      <c r="H81" s="7" t="s">
        <v>832</v>
      </c>
    </row>
    <row r="82" spans="2:8" ht="60" customHeight="1">
      <c r="B82" t="s">
        <v>515</v>
      </c>
      <c r="C82" t="s">
        <v>516</v>
      </c>
      <c r="D82" s="7" t="s">
        <v>795</v>
      </c>
      <c r="E82" s="7" t="s">
        <v>677</v>
      </c>
      <c r="F82" s="7" t="s">
        <v>800</v>
      </c>
      <c r="G82" s="7" t="s">
        <v>801</v>
      </c>
      <c r="H82" s="7" t="s">
        <v>802</v>
      </c>
    </row>
    <row r="83" spans="2:8" ht="60" customHeight="1">
      <c r="B83" t="s">
        <v>519</v>
      </c>
      <c r="C83" t="s">
        <v>520</v>
      </c>
      <c r="D83" s="7" t="s">
        <v>795</v>
      </c>
      <c r="E83" s="7" t="s">
        <v>677</v>
      </c>
      <c r="F83" s="7" t="s">
        <v>800</v>
      </c>
      <c r="G83" s="7" t="s">
        <v>801</v>
      </c>
      <c r="H83" s="7" t="s">
        <v>802</v>
      </c>
    </row>
    <row r="84" spans="2:8" ht="60" customHeight="1">
      <c r="B84" t="s">
        <v>523</v>
      </c>
      <c r="C84" t="s">
        <v>524</v>
      </c>
      <c r="D84" s="7" t="s">
        <v>795</v>
      </c>
      <c r="E84" s="7" t="s">
        <v>677</v>
      </c>
      <c r="F84" s="7" t="s">
        <v>800</v>
      </c>
      <c r="G84" s="7" t="s">
        <v>801</v>
      </c>
      <c r="H84" s="7" t="s">
        <v>802</v>
      </c>
    </row>
    <row r="85" spans="2:8" ht="60" customHeight="1">
      <c r="B85" t="s">
        <v>526</v>
      </c>
      <c r="C85" t="s">
        <v>527</v>
      </c>
      <c r="D85" s="7" t="s">
        <v>795</v>
      </c>
      <c r="E85" s="7" t="s">
        <v>677</v>
      </c>
      <c r="F85" s="7" t="s">
        <v>800</v>
      </c>
      <c r="G85" s="7" t="s">
        <v>801</v>
      </c>
      <c r="H85" s="7" t="s">
        <v>802</v>
      </c>
    </row>
    <row r="86" spans="2:8" ht="60" customHeight="1">
      <c r="B86" t="s">
        <v>530</v>
      </c>
      <c r="C86" t="s">
        <v>531</v>
      </c>
      <c r="D86" s="7" t="s">
        <v>908</v>
      </c>
      <c r="E86" s="7" t="s">
        <v>909</v>
      </c>
      <c r="F86" s="7" t="s">
        <v>910</v>
      </c>
      <c r="G86" s="7" t="s">
        <v>911</v>
      </c>
      <c r="H86" s="7" t="s">
        <v>912</v>
      </c>
    </row>
    <row r="87" spans="2:8" ht="60" customHeight="1">
      <c r="B87" t="s">
        <v>534</v>
      </c>
      <c r="C87" t="s">
        <v>535</v>
      </c>
      <c r="D87" s="7" t="s">
        <v>913</v>
      </c>
      <c r="E87" s="7" t="s">
        <v>914</v>
      </c>
      <c r="F87" s="7" t="s">
        <v>915</v>
      </c>
      <c r="G87" s="7" t="s">
        <v>916</v>
      </c>
      <c r="H87" s="7" t="s">
        <v>917</v>
      </c>
    </row>
    <row r="88" spans="2:8" ht="60" customHeight="1">
      <c r="B88" t="s">
        <v>538</v>
      </c>
      <c r="C88" t="s">
        <v>539</v>
      </c>
      <c r="D88" s="7" t="s">
        <v>918</v>
      </c>
      <c r="E88" s="7" t="s">
        <v>919</v>
      </c>
      <c r="F88" s="7" t="s">
        <v>920</v>
      </c>
      <c r="G88" s="7" t="s">
        <v>921</v>
      </c>
      <c r="H88" s="7" t="s">
        <v>922</v>
      </c>
    </row>
    <row r="89" spans="2:8" ht="60" customHeight="1">
      <c r="B89" t="s">
        <v>541</v>
      </c>
      <c r="C89" t="s">
        <v>542</v>
      </c>
      <c r="D89" s="7" t="s">
        <v>923</v>
      </c>
      <c r="E89" s="7" t="s">
        <v>924</v>
      </c>
      <c r="F89" s="7" t="s">
        <v>925</v>
      </c>
      <c r="G89" s="7" t="s">
        <v>926</v>
      </c>
      <c r="H89" s="7" t="s">
        <v>927</v>
      </c>
    </row>
    <row r="90" spans="2:8" ht="60" customHeight="1">
      <c r="B90" t="s">
        <v>544</v>
      </c>
      <c r="C90" t="s">
        <v>545</v>
      </c>
      <c r="D90" s="7" t="s">
        <v>928</v>
      </c>
      <c r="E90" s="7" t="s">
        <v>929</v>
      </c>
      <c r="F90" s="7" t="s">
        <v>930</v>
      </c>
      <c r="G90" s="7" t="s">
        <v>931</v>
      </c>
      <c r="H90" s="7" t="s">
        <v>932</v>
      </c>
    </row>
    <row r="91" spans="2:8" ht="60" customHeight="1">
      <c r="B91" t="s">
        <v>548</v>
      </c>
      <c r="C91" t="s">
        <v>549</v>
      </c>
      <c r="D91" s="7" t="s">
        <v>933</v>
      </c>
      <c r="E91" s="7" t="s">
        <v>934</v>
      </c>
      <c r="F91" s="7" t="s">
        <v>935</v>
      </c>
      <c r="G91" s="7" t="s">
        <v>936</v>
      </c>
      <c r="H91" s="7" t="s">
        <v>937</v>
      </c>
    </row>
    <row r="92" spans="2:8" ht="60" customHeight="1">
      <c r="B92" t="s">
        <v>553</v>
      </c>
      <c r="C92" t="s">
        <v>554</v>
      </c>
      <c r="D92" s="7" t="s">
        <v>661</v>
      </c>
      <c r="E92" s="7" t="s">
        <v>662</v>
      </c>
      <c r="F92" s="7" t="s">
        <v>663</v>
      </c>
      <c r="G92" s="7" t="s">
        <v>664</v>
      </c>
      <c r="H92" s="7" t="s">
        <v>665</v>
      </c>
    </row>
    <row r="93" spans="2:8" ht="60" customHeight="1">
      <c r="B93" t="s">
        <v>558</v>
      </c>
      <c r="C93" t="s">
        <v>559</v>
      </c>
      <c r="D93" s="7" t="s">
        <v>933</v>
      </c>
      <c r="E93" s="7" t="s">
        <v>934</v>
      </c>
      <c r="F93" s="7" t="s">
        <v>938</v>
      </c>
      <c r="G93" s="7" t="s">
        <v>939</v>
      </c>
      <c r="H93" s="7" t="s">
        <v>940</v>
      </c>
    </row>
    <row r="94" spans="2:8" ht="60" customHeight="1">
      <c r="B94" t="s">
        <v>563</v>
      </c>
      <c r="C94" t="s">
        <v>564</v>
      </c>
      <c r="D94" s="7" t="s">
        <v>795</v>
      </c>
      <c r="E94" s="7" t="s">
        <v>677</v>
      </c>
      <c r="F94" s="7" t="s">
        <v>800</v>
      </c>
      <c r="G94" s="7" t="s">
        <v>801</v>
      </c>
      <c r="H94" s="7" t="s">
        <v>802</v>
      </c>
    </row>
    <row r="95" spans="2:8" ht="60" customHeight="1">
      <c r="B95" t="s">
        <v>568</v>
      </c>
      <c r="C95" t="s">
        <v>569</v>
      </c>
      <c r="D95" s="7" t="s">
        <v>795</v>
      </c>
      <c r="E95" s="7" t="s">
        <v>677</v>
      </c>
      <c r="F95" s="7" t="s">
        <v>833</v>
      </c>
      <c r="G95" s="7" t="s">
        <v>834</v>
      </c>
      <c r="H95" s="7" t="s">
        <v>832</v>
      </c>
    </row>
    <row r="96" spans="2:8" ht="60" customHeight="1">
      <c r="B96" t="s">
        <v>573</v>
      </c>
      <c r="C96" t="s">
        <v>574</v>
      </c>
      <c r="D96" s="7" t="s">
        <v>941</v>
      </c>
      <c r="E96" s="7" t="s">
        <v>942</v>
      </c>
      <c r="F96" s="7" t="s">
        <v>670</v>
      </c>
      <c r="G96" s="7" t="s">
        <v>671</v>
      </c>
      <c r="H96" s="7" t="s">
        <v>943</v>
      </c>
    </row>
    <row r="97" spans="2:8" ht="60" customHeight="1">
      <c r="B97" t="s">
        <v>578</v>
      </c>
      <c r="C97" t="s">
        <v>579</v>
      </c>
      <c r="D97" s="7" t="s">
        <v>795</v>
      </c>
      <c r="E97" s="7" t="s">
        <v>677</v>
      </c>
      <c r="F97" s="7" t="s">
        <v>800</v>
      </c>
      <c r="G97" s="7" t="s">
        <v>801</v>
      </c>
      <c r="H97" s="7" t="s">
        <v>802</v>
      </c>
    </row>
    <row r="98" spans="2:8" ht="60" customHeight="1">
      <c r="B98" t="s">
        <v>582</v>
      </c>
      <c r="C98" t="s">
        <v>583</v>
      </c>
      <c r="D98" s="7" t="s">
        <v>795</v>
      </c>
      <c r="E98" s="7" t="s">
        <v>677</v>
      </c>
      <c r="F98" s="7" t="s">
        <v>800</v>
      </c>
      <c r="G98" s="7" t="s">
        <v>801</v>
      </c>
      <c r="H98" s="7" t="s">
        <v>802</v>
      </c>
    </row>
    <row r="99" spans="2:8" ht="60" customHeight="1">
      <c r="B99" t="s">
        <v>586</v>
      </c>
      <c r="C99" t="s">
        <v>587</v>
      </c>
      <c r="D99" s="7" t="s">
        <v>795</v>
      </c>
      <c r="E99" s="7" t="s">
        <v>677</v>
      </c>
      <c r="F99" s="7" t="s">
        <v>800</v>
      </c>
      <c r="G99" s="7" t="s">
        <v>801</v>
      </c>
      <c r="H99" s="7" t="s">
        <v>802</v>
      </c>
    </row>
    <row r="100" spans="2:8" ht="60" customHeight="1">
      <c r="B100" t="s">
        <v>590</v>
      </c>
      <c r="C100" t="s">
        <v>591</v>
      </c>
      <c r="D100" s="7" t="s">
        <v>661</v>
      </c>
      <c r="E100" s="7" t="s">
        <v>662</v>
      </c>
      <c r="F100" s="7" t="s">
        <v>663</v>
      </c>
      <c r="G100" s="7" t="s">
        <v>664</v>
      </c>
      <c r="H100" s="7" t="s">
        <v>665</v>
      </c>
    </row>
    <row r="101" spans="2:8" ht="60" customHeight="1">
      <c r="B101" t="s">
        <v>594</v>
      </c>
      <c r="C101" t="s">
        <v>595</v>
      </c>
      <c r="D101" s="7" t="s">
        <v>836</v>
      </c>
      <c r="E101" s="7" t="s">
        <v>800</v>
      </c>
      <c r="F101" s="7" t="s">
        <v>801</v>
      </c>
      <c r="G101" s="7" t="s">
        <v>944</v>
      </c>
      <c r="H101" s="7" t="s">
        <v>794</v>
      </c>
    </row>
    <row r="102" spans="2:8" ht="60" customHeight="1">
      <c r="B102" t="s">
        <v>599</v>
      </c>
      <c r="C102" t="s">
        <v>600</v>
      </c>
      <c r="D102" s="7" t="s">
        <v>945</v>
      </c>
      <c r="E102" s="7" t="s">
        <v>946</v>
      </c>
      <c r="F102" s="7" t="s">
        <v>947</v>
      </c>
      <c r="G102" s="7" t="s">
        <v>948</v>
      </c>
      <c r="H102" s="7" t="s">
        <v>949</v>
      </c>
    </row>
    <row r="103" spans="2:8" ht="60" customHeight="1">
      <c r="B103" t="s">
        <v>605</v>
      </c>
      <c r="C103" t="s">
        <v>606</v>
      </c>
      <c r="D103" s="7" t="s">
        <v>950</v>
      </c>
      <c r="E103" s="7" t="s">
        <v>946</v>
      </c>
      <c r="F103" s="7" t="s">
        <v>947</v>
      </c>
      <c r="G103" s="7" t="s">
        <v>948</v>
      </c>
      <c r="H103" s="7" t="s">
        <v>949</v>
      </c>
    </row>
    <row r="104" spans="2:8" ht="60" customHeight="1">
      <c r="B104" t="s">
        <v>609</v>
      </c>
      <c r="C104" t="s">
        <v>610</v>
      </c>
      <c r="D104" s="7" t="s">
        <v>795</v>
      </c>
      <c r="E104" s="7" t="s">
        <v>677</v>
      </c>
      <c r="F104" s="7" t="s">
        <v>800</v>
      </c>
      <c r="G104" s="7" t="s">
        <v>801</v>
      </c>
      <c r="H104" s="7" t="s">
        <v>802</v>
      </c>
    </row>
    <row r="105" spans="2:8" ht="60" customHeight="1">
      <c r="B105" t="s">
        <v>613</v>
      </c>
      <c r="C105" t="s">
        <v>614</v>
      </c>
      <c r="D105" s="7" t="s">
        <v>661</v>
      </c>
      <c r="E105" s="7" t="s">
        <v>662</v>
      </c>
      <c r="F105" s="7" t="s">
        <v>663</v>
      </c>
      <c r="G105" s="7" t="s">
        <v>664</v>
      </c>
      <c r="H105" s="7" t="s">
        <v>665</v>
      </c>
    </row>
    <row r="106" spans="2:8" ht="60" customHeight="1">
      <c r="B106" t="s">
        <v>617</v>
      </c>
      <c r="C106" t="s">
        <v>618</v>
      </c>
      <c r="D106" s="7" t="s">
        <v>951</v>
      </c>
      <c r="E106" s="7" t="s">
        <v>952</v>
      </c>
      <c r="F106" s="7" t="s">
        <v>953</v>
      </c>
      <c r="G106" s="7" t="s">
        <v>954</v>
      </c>
      <c r="H106" s="7" t="s">
        <v>955</v>
      </c>
    </row>
    <row r="107" spans="2:8" ht="60" customHeight="1">
      <c r="B107" t="s">
        <v>620</v>
      </c>
      <c r="C107" t="s">
        <v>621</v>
      </c>
      <c r="D107" s="7" t="s">
        <v>661</v>
      </c>
      <c r="E107" s="7" t="s">
        <v>662</v>
      </c>
      <c r="F107" s="7" t="s">
        <v>663</v>
      </c>
      <c r="G107" s="7" t="s">
        <v>664</v>
      </c>
      <c r="H107" s="7" t="s">
        <v>734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9"/>
  <sheetViews>
    <sheetView zoomScaleNormal="100" workbookViewId="0"/>
  </sheetViews>
  <sheetFormatPr baseColWidth="10" defaultColWidth="8.6640625" defaultRowHeight="15"/>
  <cols>
    <col min="1" max="1" width="3" customWidth="1"/>
    <col min="2" max="2" width="8" customWidth="1"/>
    <col min="3" max="3" width="55" customWidth="1"/>
    <col min="4" max="4" width="8" customWidth="1"/>
    <col min="5" max="5" width="26" customWidth="1"/>
    <col min="6" max="6" width="70" customWidth="1"/>
  </cols>
  <sheetData>
    <row r="1" spans="2:6" ht="7.5" customHeight="1"/>
    <row r="2" spans="2:6" ht="27.75" customHeight="1">
      <c r="B2" s="3" t="s">
        <v>956</v>
      </c>
    </row>
    <row r="3" spans="2:6" ht="18" customHeight="1">
      <c r="B3" s="4" t="s">
        <v>957</v>
      </c>
    </row>
    <row r="5" spans="2:6" ht="15" customHeight="1">
      <c r="B5" s="11" t="s">
        <v>132</v>
      </c>
      <c r="C5" s="11" t="s">
        <v>133</v>
      </c>
      <c r="D5" s="11" t="s">
        <v>58</v>
      </c>
      <c r="E5" s="11" t="s">
        <v>134</v>
      </c>
      <c r="F5" s="11" t="s">
        <v>958</v>
      </c>
    </row>
    <row r="6" spans="2:6" ht="27.75" customHeight="1">
      <c r="B6" s="40" t="s">
        <v>200</v>
      </c>
      <c r="C6" s="36" t="s">
        <v>201</v>
      </c>
      <c r="D6" s="36" t="s">
        <v>70</v>
      </c>
      <c r="E6" s="36" t="s">
        <v>202</v>
      </c>
      <c r="F6" s="36" t="s">
        <v>959</v>
      </c>
    </row>
    <row r="7" spans="2:6" ht="27.75" customHeight="1">
      <c r="B7" s="40" t="s">
        <v>219</v>
      </c>
      <c r="C7" s="36" t="s">
        <v>220</v>
      </c>
      <c r="D7" s="36" t="s">
        <v>70</v>
      </c>
      <c r="E7" s="36" t="s">
        <v>202</v>
      </c>
      <c r="F7" s="36" t="s">
        <v>959</v>
      </c>
    </row>
    <row r="8" spans="2:6" ht="27.75" customHeight="1">
      <c r="B8" s="40" t="s">
        <v>239</v>
      </c>
      <c r="C8" s="36" t="s">
        <v>240</v>
      </c>
      <c r="D8" s="36" t="s">
        <v>70</v>
      </c>
      <c r="E8" s="36" t="s">
        <v>202</v>
      </c>
      <c r="F8" s="36" t="s">
        <v>959</v>
      </c>
    </row>
    <row r="9" spans="2:6" ht="27.75" customHeight="1">
      <c r="B9" s="40" t="s">
        <v>263</v>
      </c>
      <c r="C9" s="36" t="s">
        <v>264</v>
      </c>
      <c r="D9" s="36" t="s">
        <v>73</v>
      </c>
      <c r="E9" s="36" t="s">
        <v>196</v>
      </c>
      <c r="F9" s="36" t="s">
        <v>959</v>
      </c>
    </row>
    <row r="10" spans="2:6" ht="27.75" customHeight="1">
      <c r="B10" s="40" t="s">
        <v>300</v>
      </c>
      <c r="C10" s="36" t="s">
        <v>301</v>
      </c>
      <c r="D10" s="36" t="s">
        <v>73</v>
      </c>
      <c r="E10" s="36" t="s">
        <v>196</v>
      </c>
      <c r="F10" s="36" t="s">
        <v>959</v>
      </c>
    </row>
    <row r="11" spans="2:6" ht="27.75" customHeight="1">
      <c r="B11" s="40" t="s">
        <v>311</v>
      </c>
      <c r="C11" s="36" t="s">
        <v>312</v>
      </c>
      <c r="D11" s="36" t="s">
        <v>75</v>
      </c>
      <c r="E11" s="36" t="s">
        <v>196</v>
      </c>
      <c r="F11" s="36" t="s">
        <v>959</v>
      </c>
    </row>
    <row r="12" spans="2:6" ht="27.75" customHeight="1">
      <c r="B12" s="40" t="s">
        <v>316</v>
      </c>
      <c r="C12" s="36" t="s">
        <v>317</v>
      </c>
      <c r="D12" s="36" t="s">
        <v>75</v>
      </c>
      <c r="E12" s="36" t="s">
        <v>202</v>
      </c>
      <c r="F12" s="36" t="s">
        <v>959</v>
      </c>
    </row>
    <row r="13" spans="2:6" ht="27.75" customHeight="1">
      <c r="B13" s="40" t="s">
        <v>330</v>
      </c>
      <c r="C13" s="36" t="s">
        <v>331</v>
      </c>
      <c r="D13" s="36" t="s">
        <v>75</v>
      </c>
      <c r="E13" s="36" t="s">
        <v>196</v>
      </c>
      <c r="F13" s="36" t="s">
        <v>959</v>
      </c>
    </row>
    <row r="14" spans="2:6" ht="27.75" customHeight="1">
      <c r="B14" s="40" t="s">
        <v>347</v>
      </c>
      <c r="C14" s="36" t="s">
        <v>348</v>
      </c>
      <c r="D14" s="36" t="s">
        <v>75</v>
      </c>
      <c r="E14" s="36" t="s">
        <v>196</v>
      </c>
      <c r="F14" s="36" t="s">
        <v>959</v>
      </c>
    </row>
    <row r="15" spans="2:6" ht="27.75" customHeight="1">
      <c r="B15" s="40" t="s">
        <v>389</v>
      </c>
      <c r="C15" s="36" t="s">
        <v>390</v>
      </c>
      <c r="D15" s="36" t="s">
        <v>77</v>
      </c>
      <c r="E15" s="36" t="s">
        <v>202</v>
      </c>
      <c r="F15" s="36" t="s">
        <v>959</v>
      </c>
    </row>
    <row r="16" spans="2:6" ht="27.75" customHeight="1">
      <c r="B16" s="40" t="s">
        <v>399</v>
      </c>
      <c r="C16" s="36" t="s">
        <v>400</v>
      </c>
      <c r="D16" s="36" t="s">
        <v>77</v>
      </c>
      <c r="E16" s="36" t="s">
        <v>196</v>
      </c>
      <c r="F16" s="36" t="s">
        <v>959</v>
      </c>
    </row>
    <row r="17" spans="2:6" ht="27.75" customHeight="1">
      <c r="B17" s="40" t="s">
        <v>494</v>
      </c>
      <c r="C17" s="36" t="s">
        <v>495</v>
      </c>
      <c r="D17" s="36" t="s">
        <v>79</v>
      </c>
      <c r="E17" s="36" t="s">
        <v>196</v>
      </c>
      <c r="F17" s="36" t="s">
        <v>959</v>
      </c>
    </row>
    <row r="18" spans="2:6" ht="27.75" customHeight="1">
      <c r="B18" s="40" t="s">
        <v>534</v>
      </c>
      <c r="C18" s="36" t="s">
        <v>535</v>
      </c>
      <c r="D18" s="36" t="s">
        <v>82</v>
      </c>
      <c r="E18" s="36" t="s">
        <v>196</v>
      </c>
      <c r="F18" s="36" t="s">
        <v>959</v>
      </c>
    </row>
    <row r="19" spans="2:6" ht="27.75" customHeight="1">
      <c r="B19" s="40" t="s">
        <v>544</v>
      </c>
      <c r="C19" s="36" t="s">
        <v>545</v>
      </c>
      <c r="D19" s="36" t="s">
        <v>82</v>
      </c>
      <c r="E19" s="36" t="s">
        <v>196</v>
      </c>
      <c r="F19" s="36" t="s">
        <v>959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50"/>
  <sheetViews>
    <sheetView zoomScaleNormal="100" workbookViewId="0"/>
  </sheetViews>
  <sheetFormatPr baseColWidth="10" defaultColWidth="8.6640625" defaultRowHeight="15"/>
  <cols>
    <col min="1" max="1" width="3" customWidth="1"/>
    <col min="2" max="2" width="30" customWidth="1"/>
    <col min="3" max="3" width="20" customWidth="1"/>
    <col min="4" max="4" width="14" customWidth="1"/>
    <col min="5" max="5" width="60" customWidth="1"/>
  </cols>
  <sheetData>
    <row r="1" spans="2:5" ht="7.5" customHeight="1"/>
    <row r="2" spans="2:5" ht="27.75" customHeight="1">
      <c r="B2" s="3" t="s">
        <v>45</v>
      </c>
    </row>
    <row r="3" spans="2:5" ht="18" customHeight="1">
      <c r="B3" s="4" t="s">
        <v>960</v>
      </c>
    </row>
    <row r="5" spans="2:5" ht="15" customHeight="1">
      <c r="B5" s="32" t="s">
        <v>961</v>
      </c>
    </row>
    <row r="6" spans="2:5" ht="15" customHeight="1">
      <c r="B6" s="11" t="s">
        <v>962</v>
      </c>
      <c r="C6" s="11" t="s">
        <v>59</v>
      </c>
      <c r="D6" s="11" t="s">
        <v>963</v>
      </c>
      <c r="E6" s="11" t="s">
        <v>964</v>
      </c>
    </row>
    <row r="7" spans="2:5" ht="15" customHeight="1">
      <c r="B7" s="41">
        <v>1</v>
      </c>
      <c r="C7" s="41" t="s">
        <v>965</v>
      </c>
      <c r="D7" s="41">
        <v>1</v>
      </c>
      <c r="E7" s="41">
        <v>1.8</v>
      </c>
    </row>
    <row r="8" spans="2:5" ht="15" customHeight="1">
      <c r="B8" s="41">
        <v>2</v>
      </c>
      <c r="C8" s="41" t="s">
        <v>966</v>
      </c>
      <c r="D8" s="41">
        <v>1.8</v>
      </c>
      <c r="E8" s="41">
        <v>2.6</v>
      </c>
    </row>
    <row r="9" spans="2:5" ht="15" customHeight="1">
      <c r="B9" s="41">
        <v>3</v>
      </c>
      <c r="C9" s="41" t="s">
        <v>967</v>
      </c>
      <c r="D9" s="41">
        <v>2.6</v>
      </c>
      <c r="E9" s="41">
        <v>3.4</v>
      </c>
    </row>
    <row r="10" spans="2:5" ht="15" customHeight="1">
      <c r="B10" s="41">
        <v>4</v>
      </c>
      <c r="C10" s="41" t="s">
        <v>968</v>
      </c>
      <c r="D10" s="41">
        <v>3.4</v>
      </c>
      <c r="E10" s="41">
        <v>4.2</v>
      </c>
    </row>
    <row r="11" spans="2:5" ht="15" customHeight="1">
      <c r="B11" s="41">
        <v>5</v>
      </c>
      <c r="C11" s="41" t="s">
        <v>969</v>
      </c>
      <c r="D11" s="41">
        <v>4.2</v>
      </c>
      <c r="E11" s="41">
        <v>5.01</v>
      </c>
    </row>
    <row r="15" spans="2:5" ht="15" customHeight="1">
      <c r="B15" s="32" t="s">
        <v>970</v>
      </c>
    </row>
    <row r="16" spans="2:5" ht="15" customHeight="1">
      <c r="B16" s="11" t="s">
        <v>971</v>
      </c>
      <c r="C16" s="11" t="s">
        <v>972</v>
      </c>
      <c r="D16" s="11" t="s">
        <v>101</v>
      </c>
    </row>
    <row r="17" spans="2:4" ht="15" customHeight="1">
      <c r="B17" t="s">
        <v>973</v>
      </c>
      <c r="C17" s="42">
        <v>0.6</v>
      </c>
      <c r="D17" t="s">
        <v>974</v>
      </c>
    </row>
    <row r="18" spans="2:4" ht="15" customHeight="1">
      <c r="B18" t="s">
        <v>975</v>
      </c>
      <c r="C18" s="42">
        <v>0.7</v>
      </c>
      <c r="D18" t="s">
        <v>976</v>
      </c>
    </row>
    <row r="19" spans="2:4" ht="15" customHeight="1">
      <c r="B19" t="s">
        <v>977</v>
      </c>
      <c r="C19" s="42">
        <v>0.6</v>
      </c>
      <c r="D19" t="s">
        <v>978</v>
      </c>
    </row>
    <row r="20" spans="2:4" ht="15" customHeight="1">
      <c r="B20" t="s">
        <v>979</v>
      </c>
      <c r="C20" s="42">
        <v>0.5</v>
      </c>
      <c r="D20" t="s">
        <v>980</v>
      </c>
    </row>
    <row r="21" spans="2:4" ht="15" customHeight="1">
      <c r="B21" t="s">
        <v>981</v>
      </c>
      <c r="C21" s="41">
        <v>2.6</v>
      </c>
      <c r="D21" t="s">
        <v>982</v>
      </c>
    </row>
    <row r="22" spans="2:4" ht="15" customHeight="1">
      <c r="B22" t="s">
        <v>983</v>
      </c>
      <c r="C22" s="41">
        <v>3.4</v>
      </c>
      <c r="D22" t="s">
        <v>984</v>
      </c>
    </row>
    <row r="23" spans="2:4" ht="15" customHeight="1">
      <c r="B23" t="s">
        <v>985</v>
      </c>
      <c r="C23" s="41">
        <v>2.6</v>
      </c>
      <c r="D23" t="s">
        <v>986</v>
      </c>
    </row>
    <row r="24" spans="2:4" ht="15" customHeight="1">
      <c r="B24" t="s">
        <v>987</v>
      </c>
      <c r="C24" s="41">
        <v>4.2</v>
      </c>
      <c r="D24" t="s">
        <v>988</v>
      </c>
    </row>
    <row r="25" spans="2:4" ht="15" customHeight="1">
      <c r="B25" t="s">
        <v>989</v>
      </c>
      <c r="C25" s="41">
        <v>3.4</v>
      </c>
      <c r="D25" t="s">
        <v>990</v>
      </c>
    </row>
    <row r="26" spans="2:4" ht="15" customHeight="1">
      <c r="B26" t="s">
        <v>991</v>
      </c>
      <c r="C26" s="41">
        <v>2.6</v>
      </c>
      <c r="D26" t="s">
        <v>992</v>
      </c>
    </row>
    <row r="27" spans="2:4" ht="15" customHeight="1">
      <c r="B27" t="s">
        <v>993</v>
      </c>
      <c r="C27" s="41">
        <v>4.5</v>
      </c>
      <c r="D27" t="s">
        <v>994</v>
      </c>
    </row>
    <row r="28" spans="2:4" ht="15" customHeight="1">
      <c r="B28" t="s">
        <v>995</v>
      </c>
      <c r="C28" s="41">
        <v>4.2</v>
      </c>
      <c r="D28" t="s">
        <v>996</v>
      </c>
    </row>
    <row r="29" spans="2:4" ht="15" customHeight="1">
      <c r="B29" t="s">
        <v>997</v>
      </c>
      <c r="C29" s="41">
        <v>3.4</v>
      </c>
      <c r="D29" t="s">
        <v>998</v>
      </c>
    </row>
    <row r="30" spans="2:4" ht="15" customHeight="1">
      <c r="B30" t="s">
        <v>999</v>
      </c>
      <c r="C30" s="41">
        <v>1.5</v>
      </c>
      <c r="D30" t="s">
        <v>1000</v>
      </c>
    </row>
    <row r="32" spans="2:4" ht="15" customHeight="1">
      <c r="B32" s="32" t="s">
        <v>1001</v>
      </c>
    </row>
    <row r="33" spans="2:5" ht="15" customHeight="1">
      <c r="B33" s="11" t="s">
        <v>58</v>
      </c>
      <c r="C33" s="11" t="s">
        <v>60</v>
      </c>
      <c r="D33" s="11" t="s">
        <v>1002</v>
      </c>
      <c r="E33" s="11" t="s">
        <v>1003</v>
      </c>
    </row>
    <row r="34" spans="2:5" ht="15" customHeight="1">
      <c r="B34" t="s">
        <v>67</v>
      </c>
      <c r="C34" t="s">
        <v>69</v>
      </c>
      <c r="D34" s="41"/>
      <c r="E34" t="s">
        <v>1004</v>
      </c>
    </row>
    <row r="35" spans="2:5" ht="15" customHeight="1">
      <c r="B35" t="s">
        <v>70</v>
      </c>
      <c r="C35" t="s">
        <v>72</v>
      </c>
      <c r="D35" s="42">
        <v>0.25</v>
      </c>
      <c r="E35" t="s">
        <v>71</v>
      </c>
    </row>
    <row r="36" spans="2:5" ht="15" customHeight="1">
      <c r="B36" t="s">
        <v>73</v>
      </c>
      <c r="C36" t="s">
        <v>72</v>
      </c>
      <c r="D36" s="42">
        <v>0.3</v>
      </c>
      <c r="E36" t="s">
        <v>74</v>
      </c>
    </row>
    <row r="37" spans="2:5" ht="15" customHeight="1">
      <c r="B37" t="s">
        <v>75</v>
      </c>
      <c r="C37" t="s">
        <v>72</v>
      </c>
      <c r="D37" s="42">
        <v>0.25</v>
      </c>
      <c r="E37" t="s">
        <v>76</v>
      </c>
    </row>
    <row r="38" spans="2:5" ht="15" customHeight="1">
      <c r="B38" t="s">
        <v>77</v>
      </c>
      <c r="C38" t="s">
        <v>72</v>
      </c>
      <c r="D38" s="42">
        <v>0.2</v>
      </c>
      <c r="E38" t="s">
        <v>78</v>
      </c>
    </row>
    <row r="39" spans="2:5" ht="15" customHeight="1">
      <c r="B39" t="s">
        <v>79</v>
      </c>
      <c r="C39" t="s">
        <v>81</v>
      </c>
      <c r="D39" s="42">
        <v>0.7</v>
      </c>
      <c r="E39" t="s">
        <v>1005</v>
      </c>
    </row>
    <row r="40" spans="2:5" ht="15" customHeight="1">
      <c r="B40" t="s">
        <v>82</v>
      </c>
      <c r="C40" t="s">
        <v>81</v>
      </c>
      <c r="D40" s="42">
        <v>0.3</v>
      </c>
      <c r="E40" t="s">
        <v>1006</v>
      </c>
    </row>
    <row r="41" spans="2:5" ht="15" customHeight="1">
      <c r="B41" t="s">
        <v>84</v>
      </c>
      <c r="C41" t="s">
        <v>86</v>
      </c>
      <c r="D41" s="42">
        <v>1</v>
      </c>
      <c r="E41" t="s">
        <v>85</v>
      </c>
    </row>
    <row r="42" spans="2:5" ht="15" customHeight="1">
      <c r="B42" t="s">
        <v>1007</v>
      </c>
      <c r="D42" s="34">
        <f>SUMIF(C34:C41,"Capability",D34:D41)</f>
        <v>1</v>
      </c>
    </row>
    <row r="43" spans="2:5" ht="15" customHeight="1">
      <c r="B43" t="s">
        <v>1008</v>
      </c>
      <c r="D43" s="34">
        <f>SUMIF(C34:C41,"Ecosystem",D34:D41)</f>
        <v>1</v>
      </c>
    </row>
    <row r="44" spans="2:5" ht="15" customHeight="1">
      <c r="B44" t="s">
        <v>1009</v>
      </c>
      <c r="D44" s="34">
        <f>SUMIF(C34:C41,"Outcome",D34:D41)</f>
        <v>1</v>
      </c>
    </row>
    <row r="45" spans="2:5" ht="15" customHeight="1">
      <c r="B45" s="32" t="s">
        <v>1010</v>
      </c>
    </row>
    <row r="46" spans="2:5" ht="15" customHeight="1">
      <c r="B46" s="11" t="s">
        <v>141</v>
      </c>
      <c r="C46" s="11" t="s">
        <v>1002</v>
      </c>
    </row>
    <row r="47" spans="2:5" ht="15" customHeight="1">
      <c r="B47" t="s">
        <v>151</v>
      </c>
      <c r="C47" s="43">
        <v>1</v>
      </c>
    </row>
    <row r="48" spans="2:5" ht="15" customHeight="1">
      <c r="B48" t="s">
        <v>162</v>
      </c>
      <c r="C48" s="43">
        <v>0.6</v>
      </c>
    </row>
    <row r="49" spans="2:3" ht="15" customHeight="1">
      <c r="B49" t="s">
        <v>191</v>
      </c>
      <c r="C49" s="43">
        <v>0.3</v>
      </c>
    </row>
    <row r="50" spans="2:3" ht="15" customHeight="1">
      <c r="B50" t="s">
        <v>1011</v>
      </c>
      <c r="C50" s="43">
        <v>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17"/>
  <sheetViews>
    <sheetView zoomScaleNormal="100" workbookViewId="0"/>
  </sheetViews>
  <sheetFormatPr baseColWidth="10" defaultColWidth="8.6640625" defaultRowHeight="15"/>
  <cols>
    <col min="1" max="1" width="3" customWidth="1"/>
    <col min="2" max="2" width="34" customWidth="1"/>
    <col min="3" max="3" width="105" customWidth="1"/>
  </cols>
  <sheetData>
    <row r="1" spans="2:3" ht="7.5" customHeight="1"/>
    <row r="2" spans="2:3" ht="27.75" customHeight="1">
      <c r="B2" s="3" t="s">
        <v>51</v>
      </c>
    </row>
    <row r="3" spans="2:3" ht="18" customHeight="1">
      <c r="B3" s="4" t="s">
        <v>1012</v>
      </c>
    </row>
    <row r="5" spans="2:3" ht="45.75" customHeight="1">
      <c r="B5" s="6" t="s">
        <v>3</v>
      </c>
      <c r="C5" s="7" t="s">
        <v>1013</v>
      </c>
    </row>
    <row r="6" spans="2:3" ht="45.75" customHeight="1">
      <c r="B6" s="6" t="s">
        <v>1014</v>
      </c>
      <c r="C6" s="7" t="s">
        <v>1015</v>
      </c>
    </row>
    <row r="7" spans="2:3" ht="45.75" customHeight="1">
      <c r="B7" s="6" t="s">
        <v>1016</v>
      </c>
      <c r="C7" s="7" t="s">
        <v>1017</v>
      </c>
    </row>
    <row r="8" spans="2:3" ht="45.75" customHeight="1">
      <c r="B8" s="6" t="s">
        <v>1018</v>
      </c>
      <c r="C8" s="7" t="s">
        <v>1019</v>
      </c>
    </row>
    <row r="9" spans="2:3" ht="45.75" customHeight="1">
      <c r="B9" s="6" t="s">
        <v>1020</v>
      </c>
      <c r="C9" s="7" t="s">
        <v>1021</v>
      </c>
    </row>
    <row r="10" spans="2:3" ht="45.75" customHeight="1">
      <c r="B10" s="6" t="s">
        <v>1022</v>
      </c>
      <c r="C10" s="7" t="s">
        <v>1023</v>
      </c>
    </row>
    <row r="11" spans="2:3" ht="45.75" customHeight="1">
      <c r="B11" s="6" t="s">
        <v>1024</v>
      </c>
      <c r="C11" s="7" t="s">
        <v>1025</v>
      </c>
    </row>
    <row r="12" spans="2:3" ht="45.75" customHeight="1">
      <c r="B12" s="6" t="s">
        <v>1026</v>
      </c>
      <c r="C12" s="7" t="s">
        <v>1027</v>
      </c>
    </row>
    <row r="13" spans="2:3" ht="45.75" customHeight="1">
      <c r="B13" s="6" t="s">
        <v>1028</v>
      </c>
      <c r="C13" s="7" t="s">
        <v>1029</v>
      </c>
    </row>
    <row r="14" spans="2:3" ht="45.75" customHeight="1">
      <c r="B14" s="6" t="s">
        <v>1030</v>
      </c>
      <c r="C14" s="7" t="s">
        <v>1031</v>
      </c>
    </row>
    <row r="15" spans="2:3" ht="45.75" customHeight="1">
      <c r="B15" s="6" t="s">
        <v>1032</v>
      </c>
      <c r="C15" s="7" t="s">
        <v>1033</v>
      </c>
    </row>
    <row r="16" spans="2:3" ht="45.75" customHeight="1">
      <c r="B16" s="6" t="s">
        <v>1034</v>
      </c>
      <c r="C16" s="7" t="s">
        <v>1035</v>
      </c>
    </row>
    <row r="17" spans="2:3" ht="45.75" customHeight="1">
      <c r="B17" s="6" t="s">
        <v>1036</v>
      </c>
      <c r="C17" s="7" t="s">
        <v>1037</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13"/>
  <sheetViews>
    <sheetView zoomScaleNormal="100" workbookViewId="0"/>
  </sheetViews>
  <sheetFormatPr baseColWidth="10" defaultColWidth="8.6640625" defaultRowHeight="15"/>
  <cols>
    <col min="1" max="1" width="3" customWidth="1"/>
    <col min="2" max="3" width="7" customWidth="1"/>
    <col min="4" max="4" width="30" customWidth="1"/>
    <col min="5" max="5" width="22" customWidth="1"/>
    <col min="6" max="6" width="40" customWidth="1"/>
    <col min="7" max="7" width="70" customWidth="1"/>
  </cols>
  <sheetData>
    <row r="1" spans="2:7" ht="7.5" customHeight="1"/>
    <row r="2" spans="2:7" ht="27.75" customHeight="1">
      <c r="B2" s="3" t="s">
        <v>47</v>
      </c>
    </row>
    <row r="3" spans="2:7" ht="18" customHeight="1">
      <c r="B3" s="4" t="s">
        <v>1038</v>
      </c>
    </row>
    <row r="5" spans="2:7" ht="30" customHeight="1">
      <c r="B5" s="11" t="s">
        <v>1039</v>
      </c>
      <c r="C5" s="11" t="s">
        <v>1040</v>
      </c>
      <c r="D5" s="11" t="s">
        <v>59</v>
      </c>
      <c r="E5" s="11" t="s">
        <v>1041</v>
      </c>
      <c r="F5" s="11" t="s">
        <v>1042</v>
      </c>
      <c r="G5" s="11" t="s">
        <v>1043</v>
      </c>
    </row>
    <row r="6" spans="2:7" ht="49.5" customHeight="1">
      <c r="B6" s="7">
        <v>1</v>
      </c>
      <c r="C6" s="7" t="s">
        <v>1044</v>
      </c>
      <c r="D6" s="7" t="s">
        <v>1045</v>
      </c>
      <c r="E6" s="7" t="s">
        <v>1046</v>
      </c>
      <c r="F6" s="7"/>
      <c r="G6" s="7" t="s">
        <v>1047</v>
      </c>
    </row>
    <row r="7" spans="2:7" ht="49.5" customHeight="1">
      <c r="B7" s="7">
        <v>2</v>
      </c>
      <c r="C7" s="7" t="s">
        <v>1048</v>
      </c>
      <c r="D7" s="7" t="s">
        <v>1049</v>
      </c>
      <c r="E7" s="7" t="s">
        <v>1050</v>
      </c>
      <c r="F7" s="7" t="s">
        <v>1051</v>
      </c>
      <c r="G7" s="7" t="s">
        <v>1052</v>
      </c>
    </row>
    <row r="8" spans="2:7" ht="49.5" customHeight="1">
      <c r="B8" s="7">
        <v>3</v>
      </c>
      <c r="C8" s="7" t="s">
        <v>1053</v>
      </c>
      <c r="D8" s="7" t="s">
        <v>1054</v>
      </c>
      <c r="E8" s="7" t="s">
        <v>1050</v>
      </c>
      <c r="F8" s="7" t="s">
        <v>1055</v>
      </c>
      <c r="G8" s="7" t="s">
        <v>1056</v>
      </c>
    </row>
    <row r="9" spans="2:7" ht="49.5" customHeight="1">
      <c r="B9" s="7">
        <v>4</v>
      </c>
      <c r="C9" s="7" t="s">
        <v>1057</v>
      </c>
      <c r="D9" s="7" t="s">
        <v>1058</v>
      </c>
      <c r="E9" s="7" t="s">
        <v>1059</v>
      </c>
      <c r="F9" s="7" t="s">
        <v>1060</v>
      </c>
      <c r="G9" s="7" t="s">
        <v>1061</v>
      </c>
    </row>
    <row r="10" spans="2:7" ht="49.5" customHeight="1">
      <c r="B10" s="7">
        <v>5</v>
      </c>
      <c r="C10" s="7" t="s">
        <v>1062</v>
      </c>
      <c r="D10" s="7" t="s">
        <v>1063</v>
      </c>
      <c r="E10" s="7" t="s">
        <v>1064</v>
      </c>
      <c r="F10" s="7" t="s">
        <v>1065</v>
      </c>
      <c r="G10" s="7" t="s">
        <v>1066</v>
      </c>
    </row>
    <row r="11" spans="2:7" ht="49.5" customHeight="1">
      <c r="B11" s="7">
        <v>6</v>
      </c>
      <c r="C11" s="7" t="s">
        <v>1067</v>
      </c>
      <c r="D11" s="7" t="s">
        <v>1068</v>
      </c>
      <c r="E11" s="7" t="s">
        <v>1069</v>
      </c>
      <c r="F11" s="7" t="s">
        <v>1070</v>
      </c>
      <c r="G11" s="7" t="s">
        <v>1071</v>
      </c>
    </row>
    <row r="12" spans="2:7" ht="49.5" customHeight="1">
      <c r="B12" s="7">
        <v>7</v>
      </c>
      <c r="C12" s="7" t="s">
        <v>1072</v>
      </c>
      <c r="D12" s="7" t="s">
        <v>1073</v>
      </c>
      <c r="E12" s="7" t="s">
        <v>1074</v>
      </c>
      <c r="F12" s="7" t="s">
        <v>1075</v>
      </c>
      <c r="G12" s="7" t="s">
        <v>1076</v>
      </c>
    </row>
    <row r="13" spans="2:7" ht="49.5" customHeight="1">
      <c r="B13" s="7">
        <v>8</v>
      </c>
      <c r="C13" s="7" t="s">
        <v>1077</v>
      </c>
      <c r="D13" s="7" t="s">
        <v>1078</v>
      </c>
      <c r="E13" s="7" t="s">
        <v>1079</v>
      </c>
      <c r="F13" s="7" t="s">
        <v>1080</v>
      </c>
      <c r="G13" s="7" t="s">
        <v>1081</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D17"/>
  <sheetViews>
    <sheetView zoomScaleNormal="100" workbookViewId="0"/>
  </sheetViews>
  <sheetFormatPr baseColWidth="10" defaultColWidth="8.6640625" defaultRowHeight="15"/>
  <cols>
    <col min="1" max="1" width="3" customWidth="1"/>
    <col min="2" max="2" width="14" customWidth="1"/>
    <col min="3" max="3" width="28" customWidth="1"/>
    <col min="4" max="4" width="90" customWidth="1"/>
  </cols>
  <sheetData>
    <row r="1" spans="2:4" ht="7.5" customHeight="1"/>
    <row r="2" spans="2:4" ht="27.75" customHeight="1">
      <c r="B2" s="3" t="s">
        <v>49</v>
      </c>
    </row>
    <row r="3" spans="2:4" ht="18" customHeight="1">
      <c r="B3" s="4" t="s">
        <v>1082</v>
      </c>
    </row>
    <row r="5" spans="2:4" ht="15" customHeight="1">
      <c r="B5" s="11" t="s">
        <v>1083</v>
      </c>
      <c r="C5" s="11" t="s">
        <v>1084</v>
      </c>
      <c r="D5" s="11" t="s">
        <v>1085</v>
      </c>
    </row>
    <row r="6" spans="2:4" ht="39.75" customHeight="1">
      <c r="B6" s="9" t="s">
        <v>92</v>
      </c>
      <c r="C6" t="s">
        <v>1086</v>
      </c>
      <c r="D6" s="7" t="s">
        <v>1087</v>
      </c>
    </row>
    <row r="7" spans="2:4" ht="39.75" customHeight="1">
      <c r="B7" s="9" t="s">
        <v>94</v>
      </c>
      <c r="C7" t="s">
        <v>1088</v>
      </c>
      <c r="D7" s="7" t="s">
        <v>1089</v>
      </c>
    </row>
    <row r="8" spans="2:4" ht="39.75" customHeight="1">
      <c r="B8" s="9" t="s">
        <v>96</v>
      </c>
      <c r="C8" t="s">
        <v>1090</v>
      </c>
      <c r="D8" s="7" t="s">
        <v>1091</v>
      </c>
    </row>
    <row r="9" spans="2:4" ht="39.75" customHeight="1">
      <c r="B9" s="9" t="s">
        <v>1092</v>
      </c>
      <c r="C9" t="s">
        <v>1093</v>
      </c>
      <c r="D9" s="7" t="s">
        <v>1094</v>
      </c>
    </row>
    <row r="10" spans="2:4" ht="39.75" customHeight="1">
      <c r="B10" s="9" t="s">
        <v>136</v>
      </c>
      <c r="C10" t="s">
        <v>1095</v>
      </c>
      <c r="D10" s="7" t="s">
        <v>1096</v>
      </c>
    </row>
    <row r="11" spans="2:4" ht="39.75" customHeight="1">
      <c r="B11" s="9" t="s">
        <v>63</v>
      </c>
      <c r="C11" t="s">
        <v>1097</v>
      </c>
      <c r="D11" s="7" t="s">
        <v>1098</v>
      </c>
    </row>
    <row r="12" spans="2:4" ht="39.75" customHeight="1">
      <c r="B12" s="9" t="s">
        <v>141</v>
      </c>
      <c r="C12" t="s">
        <v>1099</v>
      </c>
      <c r="D12" s="7" t="s">
        <v>1100</v>
      </c>
    </row>
    <row r="13" spans="2:4" ht="39.75" customHeight="1">
      <c r="B13" s="9" t="s">
        <v>1101</v>
      </c>
      <c r="C13" t="s">
        <v>113</v>
      </c>
      <c r="D13" s="7" t="s">
        <v>1102</v>
      </c>
    </row>
    <row r="14" spans="2:4" ht="39.75" customHeight="1">
      <c r="B14" s="9" t="s">
        <v>1103</v>
      </c>
      <c r="C14" t="s">
        <v>1104</v>
      </c>
      <c r="D14" s="7" t="s">
        <v>1105</v>
      </c>
    </row>
    <row r="15" spans="2:4" ht="39.75" customHeight="1">
      <c r="B15" s="9" t="s">
        <v>1011</v>
      </c>
      <c r="C15" t="s">
        <v>1011</v>
      </c>
      <c r="D15" s="7" t="s">
        <v>1106</v>
      </c>
    </row>
    <row r="16" spans="2:4" ht="39.75" customHeight="1">
      <c r="B16" s="9" t="s">
        <v>1107</v>
      </c>
      <c r="C16" t="s">
        <v>1108</v>
      </c>
      <c r="D16" s="7" t="s">
        <v>1109</v>
      </c>
    </row>
    <row r="17" spans="2:4" ht="39.75" customHeight="1">
      <c r="B17" s="9" t="s">
        <v>1110</v>
      </c>
      <c r="C17" t="s">
        <v>1110</v>
      </c>
      <c r="D17" s="7" t="s">
        <v>1111</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D9"/>
  <sheetViews>
    <sheetView zoomScaleNormal="100" workbookViewId="0"/>
  </sheetViews>
  <sheetFormatPr baseColWidth="10" defaultColWidth="8.6640625" defaultRowHeight="15"/>
  <cols>
    <col min="1" max="1" width="3" customWidth="1"/>
    <col min="2" max="2" width="14" customWidth="1"/>
    <col min="3" max="3" width="32" customWidth="1"/>
    <col min="4" max="4" width="110" customWidth="1"/>
  </cols>
  <sheetData>
    <row r="1" spans="2:4" ht="7.5" customHeight="1"/>
    <row r="2" spans="2:4" ht="27.75" customHeight="1">
      <c r="B2" s="3" t="s">
        <v>53</v>
      </c>
    </row>
    <row r="3" spans="2:4" ht="18" customHeight="1">
      <c r="B3" s="4" t="s">
        <v>54</v>
      </c>
    </row>
    <row r="5" spans="2:4" ht="15" customHeight="1">
      <c r="B5" s="11" t="s">
        <v>1112</v>
      </c>
      <c r="C5" s="11" t="s">
        <v>1113</v>
      </c>
      <c r="D5" s="11" t="s">
        <v>1114</v>
      </c>
    </row>
    <row r="6" spans="2:4" ht="90" customHeight="1">
      <c r="B6" s="44" t="s">
        <v>1115</v>
      </c>
      <c r="C6" s="9" t="s">
        <v>1116</v>
      </c>
      <c r="D6" s="7" t="s">
        <v>1117</v>
      </c>
    </row>
    <row r="7" spans="2:4" ht="90" customHeight="1">
      <c r="B7" s="44" t="s">
        <v>1118</v>
      </c>
      <c r="C7" s="9" t="s">
        <v>1119</v>
      </c>
      <c r="D7" s="7" t="s">
        <v>1120</v>
      </c>
    </row>
    <row r="8" spans="2:4" ht="90" customHeight="1">
      <c r="B8" s="44" t="s">
        <v>1121</v>
      </c>
      <c r="C8" s="9" t="s">
        <v>1122</v>
      </c>
      <c r="D8" s="7" t="s">
        <v>1123</v>
      </c>
    </row>
    <row r="9" spans="2:4" ht="90" customHeight="1">
      <c r="B9" s="44" t="s">
        <v>1124</v>
      </c>
      <c r="C9" s="9" t="s">
        <v>1125</v>
      </c>
      <c r="D9" s="7" t="s">
        <v>1126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12</vt:i4>
      </vt:variant>
      <vt:variant>
        <vt:lpstr>Named Ranges</vt:lpstr>
      </vt:variant>
      <vt:variant>
        <vt:i4>26</vt:i4>
      </vt:variant>
    </vt:vector>
  </HeadingPairs>
  <TitlesOfParts>
    <vt:vector size="38" baseType="lpstr">
      <vt:lpstr>Read Me</vt:lpstr>
      <vt:lpstr>Scores</vt:lpstr>
      <vt:lpstr>Egypt (worked)</vt:lpstr>
      <vt:lpstr>Blank Template</vt:lpstr>
      <vt:lpstr>Indicators</vt:lpstr>
      <vt:lpstr>Level Anchors</vt:lpstr>
      <vt:lpstr>Core Gates</vt:lpstr>
      <vt:lpstr>Config</vt:lpstr>
      <vt:lpstr>Methodology</vt:lpstr>
      <vt:lpstr>Decision Ladder</vt:lpstr>
      <vt:lpstr>Glossary</vt:lpstr>
      <vt:lpstr>Changelog</vt:lpstr>
      <vt:lpstr>BandL1_from</vt:lpstr>
      <vt:lpstr>BandL2_from</vt:lpstr>
      <vt:lpstr>BandL3_from</vt:lpstr>
      <vt:lpstr>BandL4_from</vt:lpstr>
      <vt:lpstr>BandL5_from</vt:lpstr>
      <vt:lpstr>BandL5_to</vt:lpstr>
      <vt:lpstr>Conf_High</vt:lpstr>
      <vt:lpstr>Conf_Low</vt:lpstr>
      <vt:lpstr>Conf_Medium</vt:lpstr>
      <vt:lpstr>Cov_CMS</vt:lpstr>
      <vt:lpstr>Cov_EMS</vt:lpstr>
      <vt:lpstr>Cov_Pillar</vt:lpstr>
      <vt:lpstr>Ev_Min</vt:lpstr>
      <vt:lpstr>Leapfrog_Gap</vt:lpstr>
      <vt:lpstr>Pillars</vt:lpstr>
      <vt:lpstr>Roles</vt:lpstr>
      <vt:lpstr>Stage2_CMS</vt:lpstr>
      <vt:lpstr>Stage3_CMS</vt:lpstr>
      <vt:lpstr>Stage3_EMS</vt:lpstr>
      <vt:lpstr>Stage4_CMS</vt:lpstr>
      <vt:lpstr>Stage4_EMS</vt:lpstr>
      <vt:lpstr>Stage4_OES</vt:lpstr>
      <vt:lpstr>Stage5_CMS</vt:lpstr>
      <vt:lpstr>Stage5_EMS</vt:lpstr>
      <vt:lpstr>Stage5_OES</vt:lpstr>
      <vt:lpstr>Weights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Randeep Sudan</cp:lastModifiedBy>
  <cp:revision>0</cp:revision>
  <dcterms:created xsi:type="dcterms:W3CDTF">2026-08-19T19:01:48Z</dcterms:created>
  <dcterms:modified xsi:type="dcterms:W3CDTF">2026-08-19T19:25:32Z</dcterms:modified>
  <dc:language>en-US</dc:language>
</cp:coreProperties>
</file>